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\battery\docs\"/>
    </mc:Choice>
  </mc:AlternateContent>
  <xr:revisionPtr revIDLastSave="0" documentId="13_ncr:1_{28C7BEB3-3530-48FF-AD3C-8DA417F669E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안내" sheetId="1" r:id="rId1"/>
    <sheet name="시나리오" sheetId="2" r:id="rId2"/>
    <sheet name="요약" sheetId="3" r:id="rId3"/>
    <sheet name="테스트 데이터" sheetId="4" r:id="rId4"/>
    <sheet name="확인 필요 사항" sheetId="5" r:id="rId5"/>
    <sheet name="출처 매핑" sheetId="6" r:id="rId6"/>
  </sheets>
  <definedNames>
    <definedName name="_xlnm._FilterDatabase" localSheetId="1" hidden="1">시나리오!$A$4:$O$78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4" l="1"/>
  <c r="G9" i="4"/>
  <c r="F9" i="4"/>
  <c r="G8" i="4"/>
  <c r="F8" i="4"/>
  <c r="G7" i="4"/>
  <c r="F7" i="4"/>
  <c r="F10" i="4" s="1"/>
  <c r="G6" i="4"/>
  <c r="G10" i="4" s="1"/>
  <c r="F6" i="4"/>
  <c r="B30" i="3"/>
  <c r="B31" i="3" s="1"/>
  <c r="B21" i="3"/>
  <c r="B20" i="3"/>
  <c r="B19" i="3"/>
  <c r="B18" i="3"/>
  <c r="B17" i="3"/>
  <c r="H12" i="3"/>
  <c r="F12" i="3"/>
  <c r="D12" i="3"/>
  <c r="C12" i="3"/>
  <c r="B12" i="3"/>
  <c r="E12" i="3" s="1"/>
  <c r="G12" i="3" s="1"/>
  <c r="H11" i="3"/>
  <c r="F11" i="3"/>
  <c r="D11" i="3"/>
  <c r="C11" i="3"/>
  <c r="B11" i="3"/>
  <c r="H10" i="3"/>
  <c r="F10" i="3"/>
  <c r="D10" i="3"/>
  <c r="C10" i="3"/>
  <c r="B10" i="3"/>
  <c r="E10" i="3" s="1"/>
  <c r="G10" i="3" s="1"/>
  <c r="H9" i="3"/>
  <c r="F9" i="3"/>
  <c r="D9" i="3"/>
  <c r="C9" i="3"/>
  <c r="B9" i="3"/>
  <c r="E9" i="3" s="1"/>
  <c r="G9" i="3" s="1"/>
  <c r="H8" i="3"/>
  <c r="F8" i="3"/>
  <c r="D8" i="3"/>
  <c r="C8" i="3"/>
  <c r="B8" i="3"/>
  <c r="E8" i="3" s="1"/>
  <c r="G8" i="3" s="1"/>
  <c r="H7" i="3"/>
  <c r="F7" i="3"/>
  <c r="D7" i="3"/>
  <c r="C7" i="3"/>
  <c r="B7" i="3"/>
  <c r="H6" i="3"/>
  <c r="F6" i="3"/>
  <c r="D6" i="3"/>
  <c r="C6" i="3"/>
  <c r="B6" i="3"/>
  <c r="E6" i="3" s="1"/>
  <c r="G6" i="3" s="1"/>
  <c r="H5" i="3"/>
  <c r="H13" i="3" s="1"/>
  <c r="F5" i="3"/>
  <c r="F13" i="3" s="1"/>
  <c r="D5" i="3"/>
  <c r="D13" i="3" s="1"/>
  <c r="C5" i="3"/>
  <c r="C13" i="3" s="1"/>
  <c r="B5" i="3"/>
  <c r="E11" i="3" l="1"/>
  <c r="G11" i="3" s="1"/>
  <c r="E7" i="3"/>
  <c r="G7" i="3" s="1"/>
  <c r="B13" i="3"/>
  <c r="E5" i="3"/>
  <c r="G5" i="3" l="1"/>
  <c r="E13" i="3"/>
  <c r="G13" i="3" s="1"/>
</calcChain>
</file>

<file path=xl/sharedStrings.xml><?xml version="1.0" encoding="utf-8"?>
<sst xmlns="http://schemas.openxmlformats.org/spreadsheetml/2006/main" count="1456" uniqueCount="731">
  <si>
    <r>
      <rPr>
        <b/>
        <sz val="14"/>
        <color rgb="FF000000"/>
        <rFont val="Arial"/>
        <charset val="1"/>
      </rPr>
      <t xml:space="preserve">E2E </t>
    </r>
    <r>
      <rPr>
        <b/>
        <sz val="14"/>
        <color rgb="FF000000"/>
        <rFont val="나눔고딕"/>
        <family val="2"/>
      </rPr>
      <t>시나리오 통합본 안내</t>
    </r>
  </si>
  <si>
    <r>
      <rPr>
        <b/>
        <sz val="11"/>
        <color rgb="FF1F4E78"/>
        <rFont val="Arial"/>
        <charset val="1"/>
      </rPr>
      <t>[</t>
    </r>
    <r>
      <rPr>
        <b/>
        <sz val="11"/>
        <color rgb="FF1F4E78"/>
        <rFont val="나눔고딕"/>
        <family val="2"/>
      </rPr>
      <t>이 문서의 위치</t>
    </r>
    <r>
      <rPr>
        <b/>
        <sz val="11"/>
        <color rgb="FF1F4E78"/>
        <rFont val="Arial"/>
        <charset val="1"/>
      </rPr>
      <t>]</t>
    </r>
  </si>
  <si>
    <r>
      <rPr>
        <sz val="10"/>
        <color rgb="FF000000"/>
        <rFont val="나눔고딕"/>
        <family val="2"/>
      </rPr>
      <t xml:space="preserve">미션 </t>
    </r>
    <r>
      <rPr>
        <sz val="10"/>
        <color rgb="FF000000"/>
        <rFont val="Arial"/>
        <charset val="1"/>
      </rPr>
      <t>3</t>
    </r>
    <r>
      <rPr>
        <sz val="10"/>
        <color rgb="FF000000"/>
        <rFont val="나눔고딕"/>
        <family val="2"/>
      </rPr>
      <t xml:space="preserve">의 </t>
    </r>
    <r>
      <rPr>
        <sz val="10"/>
        <color rgb="FF000000"/>
        <rFont val="Arial"/>
        <charset val="1"/>
      </rPr>
      <t>3</t>
    </r>
    <r>
      <rPr>
        <sz val="10"/>
        <color rgb="FF000000"/>
        <rFont val="나눔고딕"/>
        <family val="2"/>
      </rPr>
      <t>단계 산출물이다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 xml:space="preserve">팀원 </t>
    </r>
    <r>
      <rPr>
        <sz val="10"/>
        <color rgb="FF000000"/>
        <rFont val="Arial"/>
        <charset val="1"/>
      </rPr>
      <t>3</t>
    </r>
    <r>
      <rPr>
        <sz val="10"/>
        <color rgb="FF000000"/>
        <rFont val="나눔고딕"/>
        <family val="2"/>
      </rPr>
      <t>명의 초안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초안 </t>
    </r>
    <r>
      <rPr>
        <sz val="10"/>
        <color rgb="FF000000"/>
        <rFont val="Arial"/>
        <charset val="1"/>
      </rPr>
      <t>A·B·C)</t>
    </r>
    <r>
      <rPr>
        <sz val="10"/>
        <color rgb="FF000000"/>
        <rFont val="나눔고딕"/>
        <family val="2"/>
      </rPr>
      <t>을 취합하고 중복을 제거했다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다음 단계</t>
    </r>
    <r>
      <rPr>
        <sz val="10"/>
        <color rgb="FF000000"/>
        <rFont val="Arial"/>
        <charset val="1"/>
      </rPr>
      <t>(4</t>
    </r>
    <r>
      <rPr>
        <sz val="10"/>
        <color rgb="FF000000"/>
        <rFont val="나눔고딕"/>
        <family val="2"/>
      </rPr>
      <t>단계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에서 시나리오별 담당자를 정한다</t>
    </r>
    <r>
      <rPr>
        <sz val="10"/>
        <color rgb="FF000000"/>
        <rFont val="Arial"/>
        <charset val="1"/>
      </rPr>
      <t>.</t>
    </r>
  </si>
  <si>
    <r>
      <rPr>
        <b/>
        <sz val="11"/>
        <color rgb="FF1F4E78"/>
        <rFont val="Arial"/>
        <charset val="1"/>
      </rPr>
      <t>[</t>
    </r>
    <r>
      <rPr>
        <b/>
        <sz val="11"/>
        <color rgb="FF1F4E78"/>
        <rFont val="나눔고딕"/>
        <family val="2"/>
      </rPr>
      <t>취합 기준</t>
    </r>
    <r>
      <rPr>
        <b/>
        <sz val="11"/>
        <color rgb="FF1F4E78"/>
        <rFont val="Arial"/>
        <charset val="1"/>
      </rPr>
      <t>]</t>
    </r>
  </si>
  <si>
    <r>
      <rPr>
        <sz val="10"/>
        <color rgb="FF000000"/>
        <rFont val="나눔고딕"/>
        <family val="2"/>
      </rPr>
      <t xml:space="preserve">초안 </t>
    </r>
    <r>
      <rPr>
        <sz val="10"/>
        <color rgb="FF000000"/>
        <rFont val="Arial"/>
        <charset val="1"/>
      </rPr>
      <t xml:space="preserve">A: </t>
    </r>
    <r>
      <rPr>
        <sz val="10"/>
        <color rgb="FF000000"/>
        <rFont val="나눔고딕"/>
        <family val="2"/>
      </rPr>
      <t>영역별로 가장 세분화된 초안</t>
    </r>
    <r>
      <rPr>
        <sz val="10"/>
        <color rgb="FF000000"/>
        <rFont val="Arial"/>
        <charset val="1"/>
      </rPr>
      <t>(65</t>
    </r>
    <r>
      <rPr>
        <sz val="10"/>
        <color rgb="FF000000"/>
        <rFont val="나눔고딕"/>
        <family val="2"/>
      </rPr>
      <t>개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로케이터</t>
    </r>
    <r>
      <rPr>
        <sz val="10"/>
        <color rgb="FF000000"/>
        <rFont val="Arial"/>
        <charset val="1"/>
      </rPr>
      <t xml:space="preserve">·DB </t>
    </r>
    <r>
      <rPr>
        <sz val="10"/>
        <color rgb="FF000000"/>
        <rFont val="나눔고딕"/>
        <family val="2"/>
      </rPr>
      <t>변경 포함</t>
    </r>
    <r>
      <rPr>
        <sz val="10"/>
        <color rgb="FF000000"/>
        <rFont val="Arial"/>
        <charset val="1"/>
      </rPr>
      <t xml:space="preserve">). </t>
    </r>
    <r>
      <rPr>
        <sz val="10"/>
        <color rgb="FF000000"/>
        <rFont val="나눔고딕"/>
        <family val="2"/>
      </rPr>
      <t xml:space="preserve">초안 </t>
    </r>
    <r>
      <rPr>
        <sz val="10"/>
        <color rgb="FF000000"/>
        <rFont val="Arial"/>
        <charset val="1"/>
      </rPr>
      <t xml:space="preserve">B: </t>
    </r>
    <r>
      <rPr>
        <sz val="10"/>
        <color rgb="FF000000"/>
        <rFont val="나눔고딕"/>
        <family val="2"/>
      </rPr>
      <t>영역별 초안</t>
    </r>
    <r>
      <rPr>
        <sz val="10"/>
        <color rgb="FF000000"/>
        <rFont val="Arial"/>
        <charset val="1"/>
      </rPr>
      <t>(34</t>
    </r>
    <r>
      <rPr>
        <sz val="10"/>
        <color rgb="FF000000"/>
        <rFont val="나눔고딕"/>
        <family val="2"/>
      </rPr>
      <t>개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기존 자동테스트 여부 포함</t>
    </r>
    <r>
      <rPr>
        <sz val="10"/>
        <color rgb="FF000000"/>
        <rFont val="Arial"/>
        <charset val="1"/>
      </rPr>
      <t xml:space="preserve">). </t>
    </r>
    <r>
      <rPr>
        <sz val="10"/>
        <color rgb="FF000000"/>
        <rFont val="나눔고딕"/>
        <family val="2"/>
      </rPr>
      <t xml:space="preserve">초안 </t>
    </r>
    <r>
      <rPr>
        <sz val="10"/>
        <color rgb="FF000000"/>
        <rFont val="Arial"/>
        <charset val="1"/>
      </rPr>
      <t xml:space="preserve">C: </t>
    </r>
    <r>
      <rPr>
        <sz val="10"/>
        <color rgb="FF000000"/>
        <rFont val="나눔고딕"/>
        <family val="2"/>
      </rPr>
      <t xml:space="preserve">사용자 흐름 단위의 긴 시나리오 </t>
    </r>
    <r>
      <rPr>
        <sz val="10"/>
        <color rgb="FF000000"/>
        <rFont val="Arial"/>
        <charset val="1"/>
      </rPr>
      <t>10</t>
    </r>
    <r>
      <rPr>
        <sz val="10"/>
        <color rgb="FF000000"/>
        <rFont val="나눔고딕"/>
        <family val="2"/>
      </rPr>
      <t>개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</si>
  <si>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가장 세분화된 초안 </t>
    </r>
    <r>
      <rPr>
        <sz val="10"/>
        <color rgb="FF000000"/>
        <rFont val="Arial"/>
        <charset val="1"/>
      </rPr>
      <t>A</t>
    </r>
    <r>
      <rPr>
        <sz val="10"/>
        <color rgb="FF000000"/>
        <rFont val="나눔고딕"/>
        <family val="2"/>
      </rPr>
      <t xml:space="preserve">를 바탕으로 했고 </t>
    </r>
    <r>
      <rPr>
        <sz val="10"/>
        <color rgb="FF000000"/>
        <rFont val="Arial"/>
        <charset val="1"/>
      </rPr>
      <t xml:space="preserve">ID </t>
    </r>
    <r>
      <rPr>
        <sz val="10"/>
        <color rgb="FF000000"/>
        <rFont val="나눔고딕"/>
        <family val="2"/>
      </rPr>
      <t>는 그대로 유지했다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 xml:space="preserve">이미 코드가 </t>
    </r>
    <r>
      <rPr>
        <sz val="10"/>
        <color rgb="FF000000"/>
        <rFont val="Arial"/>
        <charset val="1"/>
      </rPr>
      <t xml:space="preserve">ID </t>
    </r>
    <r>
      <rPr>
        <sz val="10"/>
        <color rgb="FF000000"/>
        <rFont val="나눔고딕"/>
        <family val="2"/>
      </rPr>
      <t>를 쓰고 있다</t>
    </r>
    <r>
      <rPr>
        <sz val="10"/>
        <color rgb="FF000000"/>
        <rFont val="Arial"/>
        <charset val="1"/>
      </rPr>
      <t xml:space="preserve">(login.spec.ts </t>
    </r>
    <r>
      <rPr>
        <sz val="10"/>
        <color rgb="FF000000"/>
        <rFont val="나눔고딕"/>
        <family val="2"/>
      </rPr>
      <t xml:space="preserve">의 </t>
    </r>
    <r>
      <rPr>
        <sz val="10"/>
        <color rgb="FF000000"/>
        <rFont val="Arial"/>
        <charset val="1"/>
      </rPr>
      <t>AUTH-01, AUTH-02).</t>
    </r>
  </si>
  <si>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 xml:space="preserve">초안 </t>
    </r>
    <r>
      <rPr>
        <sz val="10"/>
        <color rgb="FF000000"/>
        <rFont val="Arial"/>
        <charset val="1"/>
      </rPr>
      <t>B(34</t>
    </r>
    <r>
      <rPr>
        <sz val="10"/>
        <color rgb="FF000000"/>
        <rFont val="나눔고딕"/>
        <family val="2"/>
      </rPr>
      <t>개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 xml:space="preserve">와 초안 </t>
    </r>
    <r>
      <rPr>
        <sz val="10"/>
        <color rgb="FF000000"/>
        <rFont val="Arial"/>
        <charset val="1"/>
      </rPr>
      <t>C(10</t>
    </r>
    <r>
      <rPr>
        <sz val="10"/>
        <color rgb="FF000000"/>
        <rFont val="나눔고딕"/>
        <family val="2"/>
      </rPr>
      <t>개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에서 같은 동작을 검증하는 시나리오는 하나로 합쳤다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 xml:space="preserve">어떤 시나리오가 어디로 합쳐졌는지는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출처 매핑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시트에 있다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</si>
  <si>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Arial"/>
        <charset val="1"/>
      </rPr>
      <t xml:space="preserve">3. </t>
    </r>
    <r>
      <rPr>
        <sz val="10"/>
        <color rgb="FF000000"/>
        <rFont val="나눔고딕"/>
        <family val="2"/>
      </rPr>
      <t xml:space="preserve">초안에 없던 내용 중 </t>
    </r>
    <r>
      <rPr>
        <sz val="10"/>
        <color rgb="FF000000"/>
        <rFont val="Arial"/>
        <charset val="1"/>
      </rPr>
      <t xml:space="preserve">PRD </t>
    </r>
    <r>
      <rPr>
        <sz val="10"/>
        <color rgb="FF000000"/>
        <rFont val="나눔고딕"/>
        <family val="2"/>
      </rPr>
      <t>에서 검증해야 하는 것은 신규로 추가했다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초록색 </t>
    </r>
    <r>
      <rPr>
        <sz val="10"/>
        <color rgb="FF000000"/>
        <rFont val="Arial"/>
        <charset val="1"/>
      </rPr>
      <t xml:space="preserve">ID </t>
    </r>
    <r>
      <rPr>
        <sz val="10"/>
        <color rgb="FF000000"/>
        <rFont val="나눔고딕"/>
        <family val="2"/>
      </rPr>
      <t>칸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 xml:space="preserve">출처에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신규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또는 초안 이름 표시</t>
    </r>
    <r>
      <rPr>
        <sz val="10"/>
        <color rgb="FF000000"/>
        <rFont val="Arial"/>
        <charset val="1"/>
      </rPr>
      <t>).</t>
    </r>
  </si>
  <si>
    <r>
      <rPr>
        <sz val="10"/>
        <color rgb="FF000000"/>
        <rFont val="Arial"/>
        <charset val="1"/>
      </rPr>
      <t xml:space="preserve">4. </t>
    </r>
    <r>
      <rPr>
        <sz val="10"/>
        <color rgb="FF000000"/>
        <rFont val="나눔고딕"/>
        <family val="2"/>
      </rPr>
      <t xml:space="preserve">우선순위는 초안 </t>
    </r>
    <r>
      <rPr>
        <sz val="10"/>
        <color rgb="FF000000"/>
        <rFont val="Arial"/>
        <charset val="1"/>
      </rPr>
      <t>A</t>
    </r>
    <r>
      <rPr>
        <sz val="10"/>
        <color rgb="FF000000"/>
        <rFont val="나눔고딕"/>
        <family val="2"/>
      </rPr>
      <t xml:space="preserve">의 </t>
    </r>
    <r>
      <rPr>
        <sz val="10"/>
        <color rgb="FF000000"/>
        <rFont val="Arial"/>
        <charset val="1"/>
      </rPr>
      <t xml:space="preserve">P1/P2/P3 </t>
    </r>
    <r>
      <rPr>
        <sz val="10"/>
        <color rgb="FF000000"/>
        <rFont val="나눔고딕"/>
        <family val="2"/>
      </rPr>
      <t>로 통일했다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 xml:space="preserve">초안 </t>
    </r>
    <r>
      <rPr>
        <sz val="10"/>
        <color rgb="FF000000"/>
        <rFont val="Arial"/>
        <charset val="1"/>
      </rPr>
      <t>B</t>
    </r>
    <r>
      <rPr>
        <sz val="10"/>
        <color rgb="FF000000"/>
        <rFont val="나눔고딕"/>
        <family val="2"/>
      </rPr>
      <t>의 상</t>
    </r>
    <r>
      <rPr>
        <sz val="10"/>
        <color rgb="FF000000"/>
        <rFont val="Arial"/>
        <charset val="1"/>
      </rPr>
      <t>/</t>
    </r>
    <r>
      <rPr>
        <sz val="10"/>
        <color rgb="FF000000"/>
        <rFont val="나눔고딕"/>
        <family val="2"/>
      </rPr>
      <t>중</t>
    </r>
    <r>
      <rPr>
        <sz val="10"/>
        <color rgb="FF000000"/>
        <rFont val="Arial"/>
        <charset val="1"/>
      </rPr>
      <t>/</t>
    </r>
    <r>
      <rPr>
        <sz val="10"/>
        <color rgb="FF000000"/>
        <rFont val="나눔고딕"/>
        <family val="2"/>
      </rPr>
      <t xml:space="preserve">하 와 다른 항목은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출처 매핑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시트의 비고에 적었다</t>
    </r>
    <r>
      <rPr>
        <sz val="10"/>
        <color rgb="FF000000"/>
        <rFont val="Arial"/>
        <charset val="1"/>
      </rPr>
      <t>.</t>
    </r>
  </si>
  <si>
    <r>
      <rPr>
        <b/>
        <sz val="11"/>
        <color rgb="FF1F4E78"/>
        <rFont val="Arial"/>
        <charset val="1"/>
      </rPr>
      <t>[</t>
    </r>
    <r>
      <rPr>
        <b/>
        <sz val="11"/>
        <color rgb="FF1F4E78"/>
        <rFont val="나눔고딕"/>
        <family val="2"/>
      </rPr>
      <t>열 설명</t>
    </r>
    <r>
      <rPr>
        <b/>
        <sz val="11"/>
        <color rgb="FF1F4E78"/>
        <rFont val="Arial"/>
        <charset val="1"/>
      </rPr>
      <t>]</t>
    </r>
  </si>
  <si>
    <r>
      <rPr>
        <sz val="10"/>
        <color rgb="FF000000"/>
        <rFont val="나눔고딕"/>
        <family val="2"/>
      </rPr>
      <t>우선순위</t>
    </r>
    <r>
      <rPr>
        <sz val="10"/>
        <color rgb="FF000000"/>
        <rFont val="Arial"/>
        <charset val="1"/>
      </rPr>
      <t>: P1(</t>
    </r>
    <r>
      <rPr>
        <sz val="10"/>
        <color rgb="FF000000"/>
        <rFont val="나눔고딕"/>
        <family val="2"/>
      </rPr>
      <t>핵심 흐름과 데이터 정합성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배포 전 반드시 통과</t>
    </r>
    <r>
      <rPr>
        <sz val="10"/>
        <color rgb="FF000000"/>
        <rFont val="Arial"/>
        <charset val="1"/>
      </rPr>
      <t>) / P2(</t>
    </r>
    <r>
      <rPr>
        <sz val="10"/>
        <color rgb="FF000000"/>
        <rFont val="나눔고딕"/>
        <family val="2"/>
      </rPr>
      <t>주요 기능의 변형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경계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예외</t>
    </r>
    <r>
      <rPr>
        <sz val="10"/>
        <color rgb="FF000000"/>
        <rFont val="Arial"/>
        <charset val="1"/>
      </rPr>
      <t>) / P3(</t>
    </r>
    <r>
      <rPr>
        <sz val="10"/>
        <color rgb="FF000000"/>
        <rFont val="나눔고딕"/>
        <family val="2"/>
      </rPr>
      <t>보조 기능</t>
    </r>
    <r>
      <rPr>
        <sz val="10"/>
        <color rgb="FF000000"/>
        <rFont val="Arial"/>
        <charset val="1"/>
      </rPr>
      <t xml:space="preserve">, UI </t>
    </r>
    <r>
      <rPr>
        <sz val="10"/>
        <color rgb="FF000000"/>
        <rFont val="나눔고딕"/>
        <family val="2"/>
      </rPr>
      <t>세부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환경 의존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</si>
  <si>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나눔고딕"/>
        <family val="2"/>
      </rPr>
      <t>유형</t>
    </r>
    <r>
      <rPr>
        <sz val="10"/>
        <color rgb="FF000000"/>
        <rFont val="Arial"/>
        <charset val="1"/>
      </rPr>
      <t xml:space="preserve">: </t>
    </r>
    <r>
      <rPr>
        <sz val="10"/>
        <color rgb="FF000000"/>
        <rFont val="나눔고딕"/>
        <family val="2"/>
      </rPr>
      <t>정상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기대 흐름</t>
    </r>
    <r>
      <rPr>
        <sz val="10"/>
        <color rgb="FF000000"/>
        <rFont val="Arial"/>
        <charset val="1"/>
      </rPr>
      <t xml:space="preserve">) / </t>
    </r>
    <r>
      <rPr>
        <sz val="10"/>
        <color rgb="FF000000"/>
        <rFont val="나눔고딕"/>
        <family val="2"/>
      </rPr>
      <t>예외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잘못된 입력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권한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충돌</t>
    </r>
    <r>
      <rPr>
        <sz val="10"/>
        <color rgb="FF000000"/>
        <rFont val="Arial"/>
        <charset val="1"/>
      </rPr>
      <t xml:space="preserve">) / </t>
    </r>
    <r>
      <rPr>
        <sz val="10"/>
        <color rgb="FF000000"/>
        <rFont val="나눔고딕"/>
        <family val="2"/>
      </rPr>
      <t>경계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허용 한계값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</si>
  <si>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Arial"/>
        <charset val="1"/>
      </rPr>
      <t xml:space="preserve">DB </t>
    </r>
    <r>
      <rPr>
        <sz val="10"/>
        <color rgb="FF000000"/>
        <rFont val="나눔고딕"/>
        <family val="2"/>
      </rPr>
      <t>변경</t>
    </r>
    <r>
      <rPr>
        <sz val="10"/>
        <color rgb="FF000000"/>
        <rFont val="Arial"/>
        <charset val="1"/>
      </rPr>
      <t xml:space="preserve">: Y = </t>
    </r>
    <r>
      <rPr>
        <sz val="10"/>
        <color rgb="FF000000"/>
        <rFont val="나눔고딕"/>
        <family val="2"/>
      </rPr>
      <t>실행 시 서버 데이터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주문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마스터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가 바뀜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정리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원복</t>
    </r>
    <r>
      <rPr>
        <sz val="10"/>
        <color rgb="FF000000"/>
        <rFont val="Arial"/>
        <charset val="1"/>
      </rPr>
      <t xml:space="preserve">) </t>
    </r>
    <r>
      <rPr>
        <sz val="10"/>
        <color rgb="FF000000"/>
        <rFont val="나눔고딕"/>
        <family val="2"/>
      </rPr>
      <t>계획이 필요하다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</si>
  <si>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>기존 자동테스트</t>
    </r>
    <r>
      <rPr>
        <sz val="10"/>
        <color rgb="FF000000"/>
        <rFont val="Arial"/>
        <charset val="1"/>
      </rPr>
      <t xml:space="preserve">: </t>
    </r>
    <r>
      <rPr>
        <sz val="10"/>
        <color rgb="FF000000"/>
        <rFont val="나눔고딕"/>
        <family val="2"/>
      </rPr>
      <t xml:space="preserve">초안 </t>
    </r>
    <r>
      <rPr>
        <sz val="10"/>
        <color rgb="FF000000"/>
        <rFont val="Arial"/>
        <charset val="1"/>
      </rPr>
      <t>B</t>
    </r>
    <r>
      <rPr>
        <sz val="10"/>
        <color rgb="FF000000"/>
        <rFont val="나눔고딕"/>
        <family val="2"/>
      </rPr>
      <t>이 조사한 값</t>
    </r>
    <r>
      <rPr>
        <sz val="10"/>
        <color rgb="FF000000"/>
        <rFont val="Arial"/>
        <charset val="1"/>
      </rPr>
      <t xml:space="preserve">(Java </t>
    </r>
    <r>
      <rPr>
        <sz val="10"/>
        <color rgb="FF000000"/>
        <rFont val="나눔고딕"/>
        <family val="2"/>
      </rPr>
      <t>테스트가 이미 다루는지</t>
    </r>
    <r>
      <rPr>
        <sz val="10"/>
        <color rgb="FF000000"/>
        <rFont val="Arial"/>
        <charset val="1"/>
      </rPr>
      <t xml:space="preserve">). </t>
    </r>
    <r>
      <rPr>
        <sz val="10"/>
        <color rgb="FF000000"/>
        <rFont val="나눔고딕"/>
        <family val="2"/>
      </rPr>
      <t xml:space="preserve">조사하지 않은 항목은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미확인</t>
    </r>
    <r>
      <rPr>
        <sz val="10"/>
        <color rgb="FF000000"/>
        <rFont val="Arial"/>
        <charset val="1"/>
      </rPr>
      <t>'. '</t>
    </r>
    <r>
      <rPr>
        <sz val="10"/>
        <color rgb="FF000000"/>
        <rFont val="나눔고딕"/>
        <family val="2"/>
      </rPr>
      <t>있음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 xml:space="preserve">이어도 화면 동작은 </t>
    </r>
    <r>
      <rPr>
        <sz val="10"/>
        <color rgb="FF000000"/>
        <rFont val="Arial"/>
        <charset val="1"/>
      </rPr>
      <t xml:space="preserve">E2E </t>
    </r>
    <r>
      <rPr>
        <sz val="10"/>
        <color rgb="FF000000"/>
        <rFont val="나눔고딕"/>
        <family val="2"/>
      </rPr>
      <t>로 따로 확인할 가치가 있다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</si>
  <si>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>출처</t>
    </r>
    <r>
      <rPr>
        <sz val="10"/>
        <color rgb="FF000000"/>
        <rFont val="Arial"/>
        <charset val="1"/>
      </rPr>
      <t xml:space="preserve">: </t>
    </r>
    <r>
      <rPr>
        <sz val="10"/>
        <color rgb="FF000000"/>
        <rFont val="나눔고딕"/>
        <family val="2"/>
      </rPr>
      <t>이 시나리오가 어느 초안의 어느 항목에서 왔는지</t>
    </r>
    <r>
      <rPr>
        <sz val="10"/>
        <color rgb="FF000000"/>
        <rFont val="Arial"/>
        <charset val="1"/>
      </rPr>
      <t>.</t>
    </r>
  </si>
  <si>
    <r>
      <rPr>
        <b/>
        <sz val="11"/>
        <color rgb="FF1F4E78"/>
        <rFont val="Arial"/>
        <charset val="1"/>
      </rPr>
      <t>[</t>
    </r>
    <r>
      <rPr>
        <b/>
        <sz val="11"/>
        <color rgb="FF1F4E78"/>
        <rFont val="나눔고딕"/>
        <family val="2"/>
      </rPr>
      <t>색 표시</t>
    </r>
    <r>
      <rPr>
        <b/>
        <sz val="11"/>
        <color rgb="FF1F4E78"/>
        <rFont val="Arial"/>
        <charset val="1"/>
      </rPr>
      <t>]</t>
    </r>
  </si>
  <si>
    <r>
      <rPr>
        <sz val="10"/>
        <color rgb="FF000000"/>
        <rFont val="나눔고딕"/>
        <family val="2"/>
      </rPr>
      <t>노란색 칸</t>
    </r>
    <r>
      <rPr>
        <sz val="10"/>
        <color rgb="FF000000"/>
        <rFont val="Arial"/>
        <charset val="1"/>
      </rPr>
      <t xml:space="preserve">: </t>
    </r>
    <r>
      <rPr>
        <sz val="10"/>
        <color rgb="FF000000"/>
        <rFont val="나눔고딕"/>
        <family val="2"/>
      </rPr>
      <t>담당자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구현 상태</t>
    </r>
    <r>
      <rPr>
        <sz val="10"/>
        <color rgb="FF000000"/>
        <rFont val="Arial"/>
        <charset val="1"/>
      </rPr>
      <t>. 4</t>
    </r>
    <r>
      <rPr>
        <sz val="10"/>
        <color rgb="FF000000"/>
        <rFont val="나눔고딕"/>
        <family val="2"/>
      </rPr>
      <t>단계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역할 배분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에서 채운다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지금은 비워 둔다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초안에 적힌 담당자 값은 가정값이라 가져오지 않았다</t>
    </r>
    <r>
      <rPr>
        <sz val="10"/>
        <color rgb="FF000000"/>
        <rFont val="Arial"/>
        <charset val="1"/>
      </rPr>
      <t>).</t>
    </r>
  </si>
  <si>
    <r>
      <rPr>
        <sz val="10"/>
        <color rgb="FF000000"/>
        <rFont val="나눔고딕"/>
        <family val="2"/>
      </rPr>
      <t>주황색 칸</t>
    </r>
    <r>
      <rPr>
        <sz val="10"/>
        <color rgb="FF000000"/>
        <rFont val="Arial"/>
        <charset val="1"/>
      </rPr>
      <t>: [</t>
    </r>
    <r>
      <rPr>
        <sz val="10"/>
        <color rgb="FF000000"/>
        <rFont val="나눔고딕"/>
        <family val="2"/>
      </rPr>
      <t>탐색</t>
    </r>
    <r>
      <rPr>
        <sz val="10"/>
        <color rgb="FF000000"/>
        <rFont val="Arial"/>
        <charset val="1"/>
      </rPr>
      <t xml:space="preserve">] </t>
    </r>
    <r>
      <rPr>
        <sz val="10"/>
        <color rgb="FF000000"/>
        <rFont val="나눔고딕"/>
        <family val="2"/>
      </rPr>
      <t>또는 결함 의심 시나리오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기대 동작이 정해지지 않았거나 현재 동작이 기대와 다를 수 있다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실행 전에 팀이 기대 동작을 합의한다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</si>
  <si>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 xml:space="preserve">초록색 </t>
    </r>
    <r>
      <rPr>
        <sz val="10"/>
        <color rgb="FF000000"/>
        <rFont val="Arial"/>
        <charset val="1"/>
      </rPr>
      <t xml:space="preserve">ID </t>
    </r>
    <r>
      <rPr>
        <sz val="10"/>
        <color rgb="FF000000"/>
        <rFont val="나눔고딕"/>
        <family val="2"/>
      </rPr>
      <t>칸</t>
    </r>
    <r>
      <rPr>
        <sz val="10"/>
        <color rgb="FF000000"/>
        <rFont val="Arial"/>
        <charset val="1"/>
      </rPr>
      <t xml:space="preserve">: </t>
    </r>
    <r>
      <rPr>
        <sz val="10"/>
        <color rgb="FF000000"/>
        <rFont val="나눔고딕"/>
        <family val="2"/>
      </rPr>
      <t>신규 추가되었거나 다른 초안에서 가져온 시나리오</t>
    </r>
    <r>
      <rPr>
        <sz val="10"/>
        <color rgb="FF000000"/>
        <rFont val="Arial"/>
        <charset val="1"/>
      </rPr>
      <t>.</t>
    </r>
  </si>
  <si>
    <r>
      <rPr>
        <b/>
        <sz val="11"/>
        <color rgb="FF1F4E78"/>
        <rFont val="Arial"/>
        <charset val="1"/>
      </rPr>
      <t>[</t>
    </r>
    <r>
      <rPr>
        <b/>
        <sz val="11"/>
        <color rgb="FF1F4E78"/>
        <rFont val="나눔고딕"/>
        <family val="2"/>
      </rPr>
      <t>실행 전제</t>
    </r>
    <r>
      <rPr>
        <b/>
        <sz val="11"/>
        <color rgb="FF1F4E78"/>
        <rFont val="Arial"/>
        <charset val="1"/>
      </rPr>
      <t>]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</si>
  <si>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앱이 </t>
    </r>
    <r>
      <rPr>
        <sz val="10"/>
        <color rgb="FF000000"/>
        <rFont val="Arial"/>
        <charset val="1"/>
      </rPr>
      <t xml:space="preserve">http://localhost:8080 </t>
    </r>
    <r>
      <rPr>
        <sz val="10"/>
        <color rgb="FF000000"/>
        <rFont val="나눔고딕"/>
        <family val="2"/>
      </rPr>
      <t>에서 실행 중이어야 한다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</si>
  <si>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 xml:space="preserve">계정은 </t>
    </r>
    <r>
      <rPr>
        <sz val="10"/>
        <color rgb="FF000000"/>
        <rFont val="Arial"/>
        <charset val="1"/>
      </rPr>
      <t xml:space="preserve">admin / admin </t>
    </r>
    <r>
      <rPr>
        <sz val="10"/>
        <color rgb="FF000000"/>
        <rFont val="나눔고딕"/>
        <family val="2"/>
      </rPr>
      <t>하나뿐이다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</si>
  <si>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Arial"/>
        <charset val="1"/>
      </rPr>
      <t xml:space="preserve">3. </t>
    </r>
    <r>
      <rPr>
        <sz val="10"/>
        <color rgb="FF000000"/>
        <rFont val="나눔고딕"/>
        <family val="2"/>
      </rPr>
      <t>기본 마스터 값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배 </t>
    </r>
    <r>
      <rPr>
        <sz val="10"/>
        <color rgb="FF000000"/>
        <rFont val="Arial"/>
        <charset val="1"/>
      </rPr>
      <t>3</t>
    </r>
    <r>
      <rPr>
        <sz val="10"/>
        <color rgb="FF000000"/>
        <rFont val="나눔고딕"/>
        <family val="2"/>
      </rPr>
      <t>척 등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을 전제로 한 기대값이 있다</t>
    </r>
    <r>
      <rPr>
        <sz val="10"/>
        <color rgb="FF000000"/>
        <rFont val="Arial"/>
        <charset val="1"/>
      </rPr>
      <t>. '</t>
    </r>
    <r>
      <rPr>
        <sz val="10"/>
        <color rgb="FF000000"/>
        <rFont val="나눔고딕"/>
        <family val="2"/>
      </rPr>
      <t>테스트 데이터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시트 참고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</si>
  <si>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Arial"/>
        <charset val="1"/>
      </rPr>
      <t xml:space="preserve">4. </t>
    </r>
    <r>
      <rPr>
        <sz val="10"/>
        <color rgb="FF000000"/>
        <rFont val="나눔고딕"/>
        <family val="2"/>
      </rPr>
      <t>이 시나리오들은 아직 한 번도 실행하지 않았다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화면 문구와 값은 소스와 초안에서 가져온 것이며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실행 단계에서 달라질 수 있다</t>
    </r>
    <r>
      <rPr>
        <sz val="10"/>
        <color rgb="FF000000"/>
        <rFont val="Arial"/>
        <charset val="1"/>
      </rPr>
      <t>.</t>
    </r>
  </si>
  <si>
    <r>
      <rPr>
        <b/>
        <sz val="11"/>
        <color rgb="FF1F4E78"/>
        <rFont val="Arial"/>
        <charset val="1"/>
      </rPr>
      <t>[</t>
    </r>
    <r>
      <rPr>
        <b/>
        <sz val="11"/>
        <color rgb="FF1F4E78"/>
        <rFont val="나눔고딕"/>
        <family val="2"/>
      </rPr>
      <t>구현 시 공통 주의</t>
    </r>
    <r>
      <rPr>
        <b/>
        <sz val="11"/>
        <color rgb="FF1F4E78"/>
        <rFont val="Arial"/>
        <charset val="1"/>
      </rPr>
      <t>]</t>
    </r>
  </si>
  <si>
    <r>
      <rPr>
        <sz val="10"/>
        <color rgb="FF000000"/>
        <rFont val="Arial"/>
        <charset val="1"/>
      </rPr>
      <t xml:space="preserve">- </t>
    </r>
    <r>
      <rPr>
        <sz val="10"/>
        <color rgb="FF000000"/>
        <rFont val="나눔고딕"/>
        <family val="2"/>
      </rPr>
      <t>상태 변경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취소는 브라우저 확인 창</t>
    </r>
    <r>
      <rPr>
        <sz val="10"/>
        <color rgb="FF000000"/>
        <rFont val="Arial"/>
        <charset val="1"/>
      </rPr>
      <t>(confirm)</t>
    </r>
    <r>
      <rPr>
        <sz val="10"/>
        <color rgb="FF000000"/>
        <rFont val="나눔고딕"/>
        <family val="2"/>
      </rPr>
      <t>을 거친다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 xml:space="preserve">클릭 전에 </t>
    </r>
    <r>
      <rPr>
        <sz val="10"/>
        <color rgb="FF000000"/>
        <rFont val="Arial"/>
        <charset val="1"/>
      </rPr>
      <t xml:space="preserve">page.on('dialog', d =&gt; d.accept()) </t>
    </r>
    <r>
      <rPr>
        <sz val="10"/>
        <color rgb="FF000000"/>
        <rFont val="나눔고딕"/>
        <family val="2"/>
      </rPr>
      <t>를 등록한다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</si>
  <si>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Arial"/>
        <charset val="1"/>
      </rPr>
      <t xml:space="preserve">- </t>
    </r>
    <r>
      <rPr>
        <sz val="10"/>
        <color rgb="FF000000"/>
        <rFont val="나눔고딕"/>
        <family val="2"/>
      </rPr>
      <t>동시 변경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 xml:space="preserve">마스터 충돌은 서로 다른 </t>
    </r>
    <r>
      <rPr>
        <sz val="10"/>
        <color rgb="FF000000"/>
        <rFont val="Arial"/>
        <charset val="1"/>
      </rPr>
      <t xml:space="preserve">browser context </t>
    </r>
    <r>
      <rPr>
        <sz val="10"/>
        <color rgb="FF000000"/>
        <rFont val="나눔고딕"/>
        <family val="2"/>
      </rPr>
      <t>두 개가 필요하다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</si>
  <si>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Arial"/>
        <charset val="1"/>
      </rPr>
      <t xml:space="preserve">- </t>
    </r>
    <r>
      <rPr>
        <sz val="10"/>
        <color rgb="FF000000"/>
        <rFont val="나눔고딕"/>
        <family val="2"/>
      </rPr>
      <t xml:space="preserve">마스터 입력칸의 </t>
    </r>
    <r>
      <rPr>
        <sz val="10"/>
        <color rgb="FF000000"/>
        <rFont val="Arial"/>
        <charset val="1"/>
      </rPr>
      <t xml:space="preserve">min/max </t>
    </r>
    <r>
      <rPr>
        <sz val="10"/>
        <color rgb="FF000000"/>
        <rFont val="나눔고딕"/>
        <family val="2"/>
      </rPr>
      <t>때문에 브라우저 검증이 서버 검증을 가린다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 xml:space="preserve">서버 오류를 보려면 </t>
    </r>
    <r>
      <rPr>
        <sz val="10"/>
        <color rgb="FF000000"/>
        <rFont val="Arial"/>
        <charset val="1"/>
      </rPr>
      <t xml:space="preserve">form.noValidate = true </t>
    </r>
    <r>
      <rPr>
        <sz val="10"/>
        <color rgb="FF000000"/>
        <rFont val="나눔고딕"/>
        <family val="2"/>
      </rPr>
      <t>로 끈다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</si>
  <si>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Arial"/>
        <charset val="1"/>
      </rPr>
      <t xml:space="preserve">- </t>
    </r>
    <r>
      <rPr>
        <sz val="10"/>
        <color rgb="FF000000"/>
        <rFont val="나눔고딕"/>
        <family val="2"/>
      </rPr>
      <t>계산 값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일수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비용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은 마스터가 바뀌면 달라진다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값보다 표시 여부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형식 위주로 검증하되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기본값 기준 기대값은 시나리오에 적어 두었다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</si>
  <si>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Arial"/>
        <charset val="1"/>
      </rPr>
      <t xml:space="preserve">- </t>
    </r>
    <r>
      <rPr>
        <sz val="10"/>
        <color rgb="FF000000"/>
        <rFont val="나눔고딕"/>
        <family val="2"/>
      </rPr>
      <t xml:space="preserve">마스터를 바꾸는 시나리오는 </t>
    </r>
    <r>
      <rPr>
        <sz val="10"/>
        <color rgb="FF000000"/>
        <rFont val="Arial"/>
        <charset val="1"/>
      </rPr>
      <t xml:space="preserve">afterEach </t>
    </r>
    <r>
      <rPr>
        <sz val="10"/>
        <color rgb="FF000000"/>
        <rFont val="나눔고딕"/>
        <family val="2"/>
      </rPr>
      <t>에서 값을 원복한다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변경 번호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버전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는 올라가면 되돌릴 수 없다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</si>
  <si>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Arial"/>
        <charset val="1"/>
      </rPr>
      <t xml:space="preserve">- </t>
    </r>
    <r>
      <rPr>
        <sz val="10"/>
        <color rgb="FF000000"/>
        <rFont val="나눔고딕"/>
        <family val="2"/>
      </rPr>
      <t>목록 건수는 절대값이 아니라 전후 차이로 검증한다</t>
    </r>
    <r>
      <rPr>
        <sz val="10"/>
        <color rgb="FF000000"/>
        <rFont val="Arial"/>
        <charset val="1"/>
      </rPr>
      <t>.</t>
    </r>
  </si>
  <si>
    <r>
      <rPr>
        <b/>
        <sz val="14"/>
        <color rgb="FF000000"/>
        <rFont val="Arial"/>
        <charset val="1"/>
      </rPr>
      <t xml:space="preserve">Playwright E2E </t>
    </r>
    <r>
      <rPr>
        <b/>
        <sz val="14"/>
        <color rgb="FF000000"/>
        <rFont val="나눔고딕"/>
        <family val="2"/>
      </rPr>
      <t xml:space="preserve">테스트 시나리오 </t>
    </r>
    <r>
      <rPr>
        <b/>
        <sz val="14"/>
        <color rgb="FF000000"/>
        <rFont val="Arial"/>
        <charset val="1"/>
      </rPr>
      <t>(</t>
    </r>
    <r>
      <rPr>
        <b/>
        <sz val="14"/>
        <color rgb="FF000000"/>
        <rFont val="나눔고딕"/>
        <family val="2"/>
      </rPr>
      <t>통합본</t>
    </r>
    <r>
      <rPr>
        <b/>
        <sz val="14"/>
        <color rgb="FF000000"/>
        <rFont val="Arial"/>
        <charset val="1"/>
      </rPr>
      <t>)</t>
    </r>
  </si>
  <si>
    <t>ID</t>
  </si>
  <si>
    <t>영역</t>
  </si>
  <si>
    <t>시나리오</t>
  </si>
  <si>
    <t>유형</t>
  </si>
  <si>
    <t>우선순위</t>
  </si>
  <si>
    <t>사전조건</t>
  </si>
  <si>
    <t>테스트 단계</t>
  </si>
  <si>
    <t>기대 결과</t>
  </si>
  <si>
    <r>
      <rPr>
        <b/>
        <sz val="10"/>
        <color rgb="FFFFFFFF"/>
        <rFont val="나눔고딕"/>
        <family val="2"/>
      </rPr>
      <t xml:space="preserve">관련 </t>
    </r>
    <r>
      <rPr>
        <b/>
        <sz val="10"/>
        <color rgb="FFFFFFFF"/>
        <rFont val="Arial"/>
        <charset val="1"/>
      </rPr>
      <t xml:space="preserve">PRD </t>
    </r>
    <r>
      <rPr>
        <b/>
        <sz val="10"/>
        <color rgb="FFFFFFFF"/>
        <rFont val="나눔고딕"/>
        <family val="2"/>
      </rPr>
      <t>항목</t>
    </r>
  </si>
  <si>
    <r>
      <rPr>
        <b/>
        <sz val="10"/>
        <color rgb="FFFFFFFF"/>
        <rFont val="나눔고딕"/>
        <family val="2"/>
      </rPr>
      <t xml:space="preserve">주요 로케이터 </t>
    </r>
    <r>
      <rPr>
        <b/>
        <sz val="10"/>
        <color rgb="FFFFFFFF"/>
        <rFont val="Arial"/>
        <charset val="1"/>
      </rPr>
      <t xml:space="preserve">/ </t>
    </r>
    <r>
      <rPr>
        <b/>
        <sz val="10"/>
        <color rgb="FFFFFFFF"/>
        <rFont val="나눔고딕"/>
        <family val="2"/>
      </rPr>
      <t>대상</t>
    </r>
  </si>
  <si>
    <r>
      <rPr>
        <b/>
        <sz val="10"/>
        <color rgb="FFFFFFFF"/>
        <rFont val="Arial"/>
        <charset val="1"/>
      </rPr>
      <t xml:space="preserve">DB </t>
    </r>
    <r>
      <rPr>
        <b/>
        <sz val="10"/>
        <color rgb="FFFFFFFF"/>
        <rFont val="나눔고딕"/>
        <family val="2"/>
      </rPr>
      <t>변경</t>
    </r>
  </si>
  <si>
    <t>기존 자동테스트</t>
  </si>
  <si>
    <t>담당자</t>
  </si>
  <si>
    <t>구현 상태</t>
  </si>
  <si>
    <t>메모</t>
  </si>
  <si>
    <t>AUTH-01</t>
  </si>
  <si>
    <t>인증</t>
  </si>
  <si>
    <t>비로그인 상태에서 보호된 화면 접근 시 로그인 화면으로 이동</t>
  </si>
  <si>
    <t>예외</t>
  </si>
  <si>
    <t>P1</t>
  </si>
  <si>
    <r>
      <rPr>
        <sz val="10"/>
        <color rgb="FF000000"/>
        <rFont val="나눔고딕"/>
        <family val="2"/>
      </rPr>
      <t>로그아웃 상태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새 브라우저 컨텍스트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</si>
  <si>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Arial"/>
        <charset val="1"/>
      </rPr>
      <t xml:space="preserve">1. /orders </t>
    </r>
    <r>
      <rPr>
        <sz val="10"/>
        <color rgb="FF000000"/>
        <rFont val="나눔고딕"/>
        <family val="2"/>
      </rPr>
      <t>로 이동</t>
    </r>
  </si>
  <si>
    <r>
      <rPr>
        <sz val="10"/>
        <color rgb="FF000000"/>
        <rFont val="Arial"/>
        <charset val="1"/>
      </rPr>
      <t xml:space="preserve">/login </t>
    </r>
    <r>
      <rPr>
        <sz val="10"/>
        <color rgb="FF000000"/>
        <rFont val="나눔고딕"/>
        <family val="2"/>
      </rPr>
      <t>으로 리다이렉트된다</t>
    </r>
  </si>
  <si>
    <t>FR-20</t>
  </si>
  <si>
    <t>page.goto('/orders') → toHaveURL(/\/login$/)</t>
  </si>
  <si>
    <t>N</t>
  </si>
  <si>
    <r>
      <rPr>
        <sz val="10"/>
        <color rgb="FF000000"/>
        <rFont val="나눔고딕"/>
        <family val="2"/>
      </rPr>
      <t>있음</t>
    </r>
    <r>
      <rPr>
        <sz val="10"/>
        <color rgb="FF000000"/>
        <rFont val="Arial"/>
        <charset val="1"/>
      </rPr>
      <t xml:space="preserve">(OrderFlowTests, API </t>
    </r>
    <r>
      <rPr>
        <sz val="10"/>
        <color rgb="FF000000"/>
        <rFont val="나눔고딕"/>
        <family val="2"/>
      </rPr>
      <t>수준</t>
    </r>
    <r>
      <rPr>
        <sz val="10"/>
        <color rgb="FF000000"/>
        <rFont val="Arial"/>
        <charset val="1"/>
      </rPr>
      <t>)</t>
    </r>
  </si>
  <si>
    <t>미작성</t>
  </si>
  <si>
    <t>AUTH-02</t>
  </si>
  <si>
    <r>
      <rPr>
        <sz val="10"/>
        <color rgb="FF000000"/>
        <rFont val="Arial"/>
        <charset val="1"/>
      </rPr>
      <t xml:space="preserve">admin/admin </t>
    </r>
    <r>
      <rPr>
        <sz val="10"/>
        <color rgb="FF000000"/>
        <rFont val="나눔고딕"/>
        <family val="2"/>
      </rPr>
      <t>로그인 성공</t>
    </r>
  </si>
  <si>
    <t>정상</t>
  </si>
  <si>
    <t>로그아웃 상태</t>
  </si>
  <si>
    <r>
      <rPr>
        <sz val="10"/>
        <color rgb="FF000000"/>
        <rFont val="Arial"/>
        <charset val="1"/>
      </rPr>
      <t xml:space="preserve">1. /login </t>
    </r>
    <r>
      <rPr>
        <sz val="10"/>
        <color rgb="FF000000"/>
        <rFont val="나눔고딕"/>
        <family val="2"/>
      </rPr>
      <t xml:space="preserve">이동
</t>
    </r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 xml:space="preserve">아이디 </t>
    </r>
    <r>
      <rPr>
        <sz val="10"/>
        <color rgb="FF000000"/>
        <rFont val="Arial"/>
        <charset val="1"/>
      </rPr>
      <t xml:space="preserve">admin, </t>
    </r>
    <r>
      <rPr>
        <sz val="10"/>
        <color rgb="FF000000"/>
        <rFont val="나눔고딕"/>
        <family val="2"/>
      </rPr>
      <t xml:space="preserve">비밀번호 </t>
    </r>
    <r>
      <rPr>
        <sz val="10"/>
        <color rgb="FF000000"/>
        <rFont val="Arial"/>
        <charset val="1"/>
      </rPr>
      <t xml:space="preserve">admin </t>
    </r>
    <r>
      <rPr>
        <sz val="10"/>
        <color rgb="FF000000"/>
        <rFont val="나눔고딕"/>
        <family val="2"/>
      </rPr>
      <t xml:space="preserve">입력
</t>
    </r>
    <r>
      <rPr>
        <sz val="10"/>
        <color rgb="FF000000"/>
        <rFont val="Arial"/>
        <charset val="1"/>
      </rPr>
      <t xml:space="preserve">3. </t>
    </r>
    <r>
      <rPr>
        <sz val="10"/>
        <color rgb="FF000000"/>
        <rFont val="나눔고딕"/>
        <family val="2"/>
      </rPr>
      <t>로그인 클릭</t>
    </r>
  </si>
  <si>
    <r>
      <rPr>
        <sz val="10"/>
        <color rgb="FF000000"/>
        <rFont val="Arial"/>
        <charset val="1"/>
      </rPr>
      <t xml:space="preserve">/orders </t>
    </r>
    <r>
      <rPr>
        <sz val="10"/>
        <color rgb="FF000000"/>
        <rFont val="나눔고딕"/>
        <family val="2"/>
      </rPr>
      <t>로 이동하고 주문 목록 화면이 보인다</t>
    </r>
  </si>
  <si>
    <t>FR-20, FR-21</t>
  </si>
  <si>
    <t>input[name=username], input[name=password], button[type=submit]</t>
  </si>
  <si>
    <t>없음</t>
  </si>
  <si>
    <t>AUTH-03</t>
  </si>
  <si>
    <t>잘못된 비밀번호로 로그인 실패</t>
  </si>
  <si>
    <r>
      <rPr>
        <sz val="10"/>
        <color rgb="FF000000"/>
        <rFont val="Arial"/>
        <charset val="1"/>
      </rPr>
      <t xml:space="preserve">1. /login </t>
    </r>
    <r>
      <rPr>
        <sz val="10"/>
        <color rgb="FF000000"/>
        <rFont val="나눔고딕"/>
        <family val="2"/>
      </rPr>
      <t xml:space="preserve">이동
</t>
    </r>
    <r>
      <rPr>
        <sz val="10"/>
        <color rgb="FF000000"/>
        <rFont val="Arial"/>
        <charset val="1"/>
      </rPr>
      <t xml:space="preserve">2. admin / wrong </t>
    </r>
    <r>
      <rPr>
        <sz val="10"/>
        <color rgb="FF000000"/>
        <rFont val="나눔고딕"/>
        <family val="2"/>
      </rPr>
      <t>입력 후 로그인</t>
    </r>
  </si>
  <si>
    <r>
      <rPr>
        <sz val="10"/>
        <color rgb="FF000000"/>
        <rFont val="나눔고딕"/>
        <family val="2"/>
      </rPr>
      <t xml:space="preserve">로그인 화면에 머물고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아이디 또는 비밀번호가 올바르지 않습니다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가 표시된다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 xml:space="preserve">세션이 생기지 않아 </t>
    </r>
    <r>
      <rPr>
        <sz val="10"/>
        <color rgb="FF000000"/>
        <rFont val="Arial"/>
        <charset val="1"/>
      </rPr>
      <t xml:space="preserve">/orders </t>
    </r>
    <r>
      <rPr>
        <sz val="10"/>
        <color rgb="FF000000"/>
        <rFont val="나눔고딕"/>
        <family val="2"/>
      </rPr>
      <t>접근 시 다시 로그인으로 간다</t>
    </r>
  </si>
  <si>
    <t>.alert.error</t>
  </si>
  <si>
    <t>AUTH-04</t>
  </si>
  <si>
    <r>
      <rPr>
        <sz val="10"/>
        <color rgb="FF000000"/>
        <rFont val="나눔고딕"/>
        <family val="2"/>
      </rPr>
      <t xml:space="preserve">로그인 상태에서 </t>
    </r>
    <r>
      <rPr>
        <sz val="10"/>
        <color rgb="FF000000"/>
        <rFont val="Arial"/>
        <charset val="1"/>
      </rPr>
      <t xml:space="preserve">/login </t>
    </r>
    <r>
      <rPr>
        <sz val="10"/>
        <color rgb="FF000000"/>
        <rFont val="나눔고딕"/>
        <family val="2"/>
      </rPr>
      <t>접근 시 목록으로 이동</t>
    </r>
  </si>
  <si>
    <t>P3</t>
  </si>
  <si>
    <t>로그인 상태</t>
  </si>
  <si>
    <r>
      <rPr>
        <sz val="10"/>
        <color rgb="FF000000"/>
        <rFont val="Arial"/>
        <charset val="1"/>
      </rPr>
      <t xml:space="preserve">1. /login </t>
    </r>
    <r>
      <rPr>
        <sz val="10"/>
        <color rgb="FF000000"/>
        <rFont val="나눔고딕"/>
        <family val="2"/>
      </rPr>
      <t>이동</t>
    </r>
  </si>
  <si>
    <r>
      <rPr>
        <sz val="10"/>
        <color rgb="FF000000"/>
        <rFont val="Arial"/>
        <charset val="1"/>
      </rPr>
      <t xml:space="preserve">/orders </t>
    </r>
    <r>
      <rPr>
        <sz val="10"/>
        <color rgb="FF000000"/>
        <rFont val="나눔고딕"/>
        <family val="2"/>
      </rPr>
      <t>로 리다이렉트된다</t>
    </r>
  </si>
  <si>
    <t>page.goto('/login')</t>
  </si>
  <si>
    <t>AUTH-05</t>
  </si>
  <si>
    <t>로그아웃</t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</si>
  <si>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상단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로그아웃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 xml:space="preserve">클릭
</t>
    </r>
    <r>
      <rPr>
        <sz val="10"/>
        <color rgb="FF000000"/>
        <rFont val="Arial"/>
        <charset val="1"/>
      </rPr>
      <t xml:space="preserve">2. /orders </t>
    </r>
    <r>
      <rPr>
        <sz val="10"/>
        <color rgb="FF000000"/>
        <rFont val="나눔고딕"/>
        <family val="2"/>
      </rPr>
      <t>로 직접 이동</t>
    </r>
  </si>
  <si>
    <r>
      <rPr>
        <sz val="10"/>
        <color rgb="FF000000"/>
        <rFont val="Arial"/>
        <charset val="1"/>
      </rPr>
      <t xml:space="preserve">/login </t>
    </r>
    <r>
      <rPr>
        <sz val="10"/>
        <color rgb="FF000000"/>
        <rFont val="나눔고딕"/>
        <family val="2"/>
      </rPr>
      <t>으로 이동하고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 xml:space="preserve">이후 </t>
    </r>
    <r>
      <rPr>
        <sz val="10"/>
        <color rgb="FF000000"/>
        <rFont val="Arial"/>
        <charset val="1"/>
      </rPr>
      <t xml:space="preserve">/orders </t>
    </r>
    <r>
      <rPr>
        <sz val="10"/>
        <color rgb="FF000000"/>
        <rFont val="나눔고딕"/>
        <family val="2"/>
      </rPr>
      <t>접근이 다시 로그인 화면으로 차단된다</t>
    </r>
  </si>
  <si>
    <t>header .user button.link</t>
  </si>
  <si>
    <t>AUTH-06</t>
  </si>
  <si>
    <t>상단에 로그인 사용자 표시</t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</si>
  <si>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>아무 화면 열기</t>
    </r>
  </si>
  <si>
    <r>
      <rPr>
        <sz val="10"/>
        <color rgb="FF000000"/>
        <rFont val="나눔고딕"/>
        <family val="2"/>
      </rPr>
      <t xml:space="preserve">상단 우측에 </t>
    </r>
    <r>
      <rPr>
        <sz val="10"/>
        <color rgb="FF000000"/>
        <rFont val="Arial"/>
        <charset val="1"/>
      </rPr>
      <t xml:space="preserve">'admin' </t>
    </r>
    <r>
      <rPr>
        <sz val="10"/>
        <color rgb="FF000000"/>
        <rFont val="나눔고딕"/>
        <family val="2"/>
      </rPr>
      <t>과 로그아웃 버튼이 보인다</t>
    </r>
  </si>
  <si>
    <t>FR-21</t>
  </si>
  <si>
    <t>header .user span</t>
  </si>
  <si>
    <t>미확인</t>
  </si>
  <si>
    <t>AUTH-07</t>
  </si>
  <si>
    <r>
      <rPr>
        <sz val="10"/>
        <color rgb="FF000000"/>
        <rFont val="나눔고딕"/>
        <family val="2"/>
      </rPr>
      <t xml:space="preserve">비로그인 </t>
    </r>
    <r>
      <rPr>
        <sz val="10"/>
        <color rgb="FF000000"/>
        <rFont val="Arial"/>
        <charset val="1"/>
      </rPr>
      <t xml:space="preserve">API </t>
    </r>
    <r>
      <rPr>
        <sz val="10"/>
        <color rgb="FF000000"/>
        <rFont val="나눔고딕"/>
        <family val="2"/>
      </rPr>
      <t xml:space="preserve">호출은 </t>
    </r>
    <r>
      <rPr>
        <sz val="10"/>
        <color rgb="FF000000"/>
        <rFont val="Arial"/>
        <charset val="1"/>
      </rPr>
      <t>401</t>
    </r>
  </si>
  <si>
    <t>P2</t>
  </si>
  <si>
    <t>1. request.get('/api/master')
2. request.post('/api/simulate', {orders: {...}})</t>
  </si>
  <si>
    <r>
      <rPr>
        <sz val="10"/>
        <color rgb="FF000000"/>
        <rFont val="나눔고딕"/>
        <family val="2"/>
      </rPr>
      <t xml:space="preserve">두 요청 모두 </t>
    </r>
    <r>
      <rPr>
        <sz val="10"/>
        <color rgb="FF000000"/>
        <rFont val="Arial"/>
        <charset val="1"/>
      </rPr>
      <t>HTTP 401 (</t>
    </r>
    <r>
      <rPr>
        <sz val="10"/>
        <color rgb="FF000000"/>
        <rFont val="나눔고딕"/>
        <family val="2"/>
      </rPr>
      <t>리다이렉트가 아님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</si>
  <si>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Arial"/>
        <charset val="1"/>
      </rPr>
      <t xml:space="preserve">playwright request </t>
    </r>
    <r>
      <rPr>
        <sz val="10"/>
        <color rgb="FF000000"/>
        <rFont val="나눔고딕"/>
        <family val="2"/>
      </rPr>
      <t>컨텍스트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쿠키 없음</t>
    </r>
    <r>
      <rPr>
        <sz val="10"/>
        <color rgb="FF000000"/>
        <rFont val="Arial"/>
        <charset val="1"/>
      </rPr>
      <t>)</t>
    </r>
  </si>
  <si>
    <t>AUTH-08</t>
  </si>
  <si>
    <t>정적 리소스는 로그인 없이 접근 가능</t>
  </si>
  <si>
    <r>
      <rPr>
        <sz val="10"/>
        <color rgb="FF000000"/>
        <rFont val="Arial"/>
        <charset val="1"/>
      </rPr>
      <t xml:space="preserve">1. /css/app.css, /js/common.js </t>
    </r>
    <r>
      <rPr>
        <sz val="10"/>
        <color rgb="FF000000"/>
        <rFont val="나눔고딕"/>
        <family val="2"/>
      </rPr>
      <t>요청</t>
    </r>
  </si>
  <si>
    <r>
      <rPr>
        <sz val="10"/>
        <color rgb="FF000000"/>
        <rFont val="Arial"/>
        <charset val="1"/>
      </rPr>
      <t>HTTP 200 (</t>
    </r>
    <r>
      <rPr>
        <sz val="10"/>
        <color rgb="FF000000"/>
        <rFont val="나눔고딕"/>
        <family val="2"/>
      </rPr>
      <t>인터셉터 제외 경로</t>
    </r>
    <r>
      <rPr>
        <sz val="10"/>
        <color rgb="FF000000"/>
        <rFont val="Arial"/>
        <charset val="1"/>
      </rPr>
      <t>)</t>
    </r>
  </si>
  <si>
    <t>request.get</t>
  </si>
  <si>
    <t>AUTH-09</t>
  </si>
  <si>
    <t>비로그인 상태에서 상태 변경 요청은 로그인으로 이동하고 변경되지 않음</t>
  </si>
  <si>
    <r>
      <rPr>
        <sz val="10"/>
        <color rgb="FF000000"/>
        <rFont val="나눔고딕"/>
        <family val="2"/>
      </rPr>
      <t>로그아웃 상태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확정 상태 주문이 있음</t>
    </r>
  </si>
  <si>
    <r>
      <rPr>
        <sz val="10"/>
        <color rgb="FF000000"/>
        <rFont val="Arial"/>
        <charset val="1"/>
      </rPr>
      <t>1. request.post('/orders/{id}/status', form: status=IN_PROGRESS, version=</t>
    </r>
    <r>
      <rPr>
        <sz val="10"/>
        <color rgb="FF000000"/>
        <rFont val="나눔고딕"/>
        <family val="2"/>
      </rPr>
      <t>현재값</t>
    </r>
    <r>
      <rPr>
        <sz val="10"/>
        <color rgb="FF000000"/>
        <rFont val="Arial"/>
        <charset val="1"/>
      </rPr>
      <t>, maxRedirects: 0)</t>
    </r>
  </si>
  <si>
    <r>
      <rPr>
        <sz val="10"/>
        <color rgb="FF000000"/>
        <rFont val="Arial"/>
        <charset val="1"/>
      </rPr>
      <t xml:space="preserve">HTTP 302 </t>
    </r>
    <r>
      <rPr>
        <sz val="10"/>
        <color rgb="FF000000"/>
        <rFont val="나눔고딕"/>
        <family val="2"/>
      </rPr>
      <t xml:space="preserve">로 </t>
    </r>
    <r>
      <rPr>
        <sz val="10"/>
        <color rgb="FF000000"/>
        <rFont val="Arial"/>
        <charset val="1"/>
      </rPr>
      <t xml:space="preserve">/login </t>
    </r>
    <r>
      <rPr>
        <sz val="10"/>
        <color rgb="FF000000"/>
        <rFont val="나눔고딕"/>
        <family val="2"/>
      </rPr>
      <t>으로 이동한다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 xml:space="preserve">로그인 후 주문 상태를 확인하면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확정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그대로이고 이력도 늘지 않는다</t>
    </r>
  </si>
  <si>
    <r>
      <rPr>
        <sz val="10"/>
        <color rgb="FF000000"/>
        <rFont val="나눔고딕"/>
        <family val="2"/>
      </rPr>
      <t xml:space="preserve">인터셉터가 </t>
    </r>
    <r>
      <rPr>
        <sz val="10"/>
        <color rgb="FF000000"/>
        <rFont val="Arial"/>
        <charset val="1"/>
      </rPr>
      <t xml:space="preserve">/api/ </t>
    </r>
    <r>
      <rPr>
        <sz val="10"/>
        <color rgb="FF000000"/>
        <rFont val="나눔고딕"/>
        <family val="2"/>
      </rPr>
      <t xml:space="preserve">가 아닌 경로는 </t>
    </r>
    <r>
      <rPr>
        <sz val="10"/>
        <color rgb="FF000000"/>
        <rFont val="Arial"/>
        <charset val="1"/>
      </rPr>
      <t xml:space="preserve">401 </t>
    </r>
    <r>
      <rPr>
        <sz val="10"/>
        <color rgb="FF000000"/>
        <rFont val="나눔고딕"/>
        <family val="2"/>
      </rPr>
      <t xml:space="preserve">이 아니라 </t>
    </r>
    <r>
      <rPr>
        <sz val="10"/>
        <color rgb="FF000000"/>
        <rFont val="Arial"/>
        <charset val="1"/>
      </rPr>
      <t xml:space="preserve">/login </t>
    </r>
    <r>
      <rPr>
        <sz val="10"/>
        <color rgb="FF000000"/>
        <rFont val="나눔고딕"/>
        <family val="2"/>
      </rPr>
      <t>리다이렉트로 처리함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코드 확인</t>
    </r>
    <r>
      <rPr>
        <sz val="10"/>
        <color rgb="FF000000"/>
        <rFont val="Arial"/>
        <charset val="1"/>
      </rPr>
      <t>)</t>
    </r>
  </si>
  <si>
    <t>SIM-01</t>
  </si>
  <si>
    <r>
      <rPr>
        <sz val="10"/>
        <color rgb="FF000000"/>
        <rFont val="나눔고딕"/>
        <family val="2"/>
      </rPr>
      <t>주문 추가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시뮬레이션</t>
    </r>
  </si>
  <si>
    <t>주문 추가 화면 초기 상태</t>
  </si>
  <si>
    <r>
      <rPr>
        <sz val="10"/>
        <color rgb="FF000000"/>
        <rFont val="Arial"/>
        <charset val="1"/>
      </rPr>
      <t xml:space="preserve">1. /orders/new </t>
    </r>
    <r>
      <rPr>
        <sz val="10"/>
        <color rgb="FF000000"/>
        <rFont val="나눔고딕"/>
        <family val="2"/>
      </rPr>
      <t>이동</t>
    </r>
  </si>
  <si>
    <r>
      <rPr>
        <sz val="10"/>
        <color rgb="FF000000"/>
        <rFont val="나눔고딕"/>
        <family val="2"/>
      </rPr>
      <t xml:space="preserve">총 생산 필요 수 </t>
    </r>
    <r>
      <rPr>
        <sz val="10"/>
        <color rgb="FF000000"/>
        <rFont val="Arial"/>
        <charset val="1"/>
      </rPr>
      <t xml:space="preserve">12000, </t>
    </r>
    <r>
      <rPr>
        <sz val="10"/>
        <color rgb="FF000000"/>
        <rFont val="나눔고딕"/>
        <family val="2"/>
      </rPr>
      <t xml:space="preserve">게이지 </t>
    </r>
    <r>
      <rPr>
        <sz val="10"/>
        <color rgb="FF000000"/>
        <rFont val="Arial"/>
        <charset val="1"/>
      </rPr>
      <t>4</t>
    </r>
    <r>
      <rPr>
        <sz val="10"/>
        <color rgb="FF000000"/>
        <rFont val="나눔고딕"/>
        <family val="2"/>
      </rPr>
      <t>개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중국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일본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베트남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인도네시아</t>
    </r>
    <r>
      <rPr>
        <sz val="10"/>
        <color rgb="FF000000"/>
        <rFont val="Arial"/>
        <charset val="1"/>
      </rPr>
      <t xml:space="preserve">) </t>
    </r>
    <r>
      <rPr>
        <sz val="10"/>
        <color rgb="FF000000"/>
        <rFont val="나눔고딕"/>
        <family val="2"/>
      </rPr>
      <t xml:space="preserve">각 </t>
    </r>
    <r>
      <rPr>
        <sz val="10"/>
        <color rgb="FF000000"/>
        <rFont val="Arial"/>
        <charset val="1"/>
      </rPr>
      <t xml:space="preserve">3000K. </t>
    </r>
    <r>
      <rPr>
        <sz val="10"/>
        <color rgb="FF000000"/>
        <rFont val="나눔고딕"/>
        <family val="2"/>
      </rPr>
      <t>방문 횟수</t>
    </r>
    <r>
      <rPr>
        <sz val="10"/>
        <color rgb="FF000000"/>
        <rFont val="Arial"/>
        <charset val="1"/>
      </rPr>
      <t xml:space="preserve">: </t>
    </r>
    <r>
      <rPr>
        <sz val="10"/>
        <color rgb="FF000000"/>
        <rFont val="나눔고딕"/>
        <family val="2"/>
      </rPr>
      <t xml:space="preserve">중국 </t>
    </r>
    <r>
      <rPr>
        <sz val="10"/>
        <color rgb="FF000000"/>
        <rFont val="Arial"/>
        <charset val="1"/>
      </rPr>
      <t>1</t>
    </r>
    <r>
      <rPr>
        <sz val="10"/>
        <color rgb="FF000000"/>
        <rFont val="나눔고딕"/>
        <family val="2"/>
      </rPr>
      <t>회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 xml:space="preserve">일본 </t>
    </r>
    <r>
      <rPr>
        <sz val="10"/>
        <color rgb="FF000000"/>
        <rFont val="Arial"/>
        <charset val="1"/>
      </rPr>
      <t>2</t>
    </r>
    <r>
      <rPr>
        <sz val="10"/>
        <color rgb="FF000000"/>
        <rFont val="나눔고딕"/>
        <family val="2"/>
      </rPr>
      <t>회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 xml:space="preserve">베트남 </t>
    </r>
    <r>
      <rPr>
        <sz val="10"/>
        <color rgb="FF000000"/>
        <rFont val="Arial"/>
        <charset val="1"/>
      </rPr>
      <t>1</t>
    </r>
    <r>
      <rPr>
        <sz val="10"/>
        <color rgb="FF000000"/>
        <rFont val="나눔고딕"/>
        <family val="2"/>
      </rPr>
      <t>회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 xml:space="preserve">인도네시아 </t>
    </r>
    <r>
      <rPr>
        <sz val="10"/>
        <color rgb="FF000000"/>
        <rFont val="Arial"/>
        <charset val="1"/>
      </rPr>
      <t>1</t>
    </r>
    <r>
      <rPr>
        <sz val="10"/>
        <color rgb="FF000000"/>
        <rFont val="나눔고딕"/>
        <family val="2"/>
      </rPr>
      <t>회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결과 영역은 숨김</t>
    </r>
  </si>
  <si>
    <t>FR-1, FR-19</t>
  </si>
  <si>
    <t>#total, .gauge[data-c] .gnum, .gvisits, #result[hidden]</t>
  </si>
  <si>
    <r>
      <rPr>
        <sz val="10"/>
        <color rgb="FF000000"/>
        <rFont val="나눔고딕"/>
        <family val="2"/>
      </rPr>
      <t xml:space="preserve">방문 횟수 기대값은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테스트 데이터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시트 참고</t>
    </r>
  </si>
  <si>
    <t>SIM-02</t>
  </si>
  <si>
    <r>
      <rPr>
        <sz val="10"/>
        <color rgb="FF000000"/>
        <rFont val="나눔고딕"/>
        <family val="2"/>
      </rPr>
      <t xml:space="preserve">시뮬레이션 실행 시 경로 </t>
    </r>
    <r>
      <rPr>
        <sz val="10"/>
        <color rgb="FF000000"/>
        <rFont val="Arial"/>
        <charset val="1"/>
      </rPr>
      <t>3</t>
    </r>
    <r>
      <rPr>
        <sz val="10"/>
        <color rgb="FF000000"/>
        <rFont val="나눔고딕"/>
        <family val="2"/>
      </rPr>
      <t>종 표시</t>
    </r>
  </si>
  <si>
    <r>
      <rPr>
        <sz val="10"/>
        <color rgb="FF000000"/>
        <rFont val="Arial"/>
        <charset val="1"/>
      </rPr>
      <t xml:space="preserve">SIM-01 </t>
    </r>
    <r>
      <rPr>
        <sz val="10"/>
        <color rgb="FF000000"/>
        <rFont val="나눔고딕"/>
        <family val="2"/>
      </rPr>
      <t>상태</t>
    </r>
  </si>
  <si>
    <r>
      <rPr>
        <sz val="10"/>
        <color rgb="FF000000"/>
        <rFont val="Arial"/>
        <charset val="1"/>
      </rPr>
      <t>1. '</t>
    </r>
    <r>
      <rPr>
        <sz val="10"/>
        <color rgb="FF000000"/>
        <rFont val="나눔고딕"/>
        <family val="2"/>
      </rPr>
      <t>시뮬레이션 실행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클릭</t>
    </r>
  </si>
  <si>
    <r>
      <rPr>
        <sz val="10"/>
        <color rgb="FF000000"/>
        <rFont val="나눔고딕"/>
        <family val="2"/>
      </rPr>
      <t xml:space="preserve">결과 영역이 보이고 옵션 카드 </t>
    </r>
    <r>
      <rPr>
        <sz val="10"/>
        <color rgb="FF000000"/>
        <rFont val="Arial"/>
        <charset val="1"/>
      </rPr>
      <t>3</t>
    </r>
    <r>
      <rPr>
        <sz val="10"/>
        <color rgb="FF000000"/>
        <rFont val="나눔고딕"/>
        <family val="2"/>
      </rPr>
      <t>개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운항비 최소 </t>
    </r>
    <r>
      <rPr>
        <sz val="10"/>
        <color rgb="FF000000"/>
        <rFont val="Arial"/>
        <charset val="1"/>
      </rPr>
      <t xml:space="preserve">/ </t>
    </r>
    <r>
      <rPr>
        <sz val="10"/>
        <color rgb="FF000000"/>
        <rFont val="나눔고딕"/>
        <family val="2"/>
      </rPr>
      <t xml:space="preserve">가장 빠르게 </t>
    </r>
    <r>
      <rPr>
        <sz val="10"/>
        <color rgb="FF000000"/>
        <rFont val="Arial"/>
        <charset val="1"/>
      </rPr>
      <t xml:space="preserve">/ </t>
    </r>
    <r>
      <rPr>
        <sz val="10"/>
        <color rgb="FF000000"/>
        <rFont val="나눔고딕"/>
        <family val="2"/>
      </rPr>
      <t>가까운 곳부터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에 소요 일수와 총 비용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억원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이 표시된다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기본 선택은 운항비 최소</t>
    </r>
  </si>
  <si>
    <t>FR-2, FR-3</t>
  </si>
  <si>
    <t>#runBtn, #options .option[data-type=COST|FAST|NEAR]</t>
  </si>
  <si>
    <t>SIM-03</t>
  </si>
  <si>
    <r>
      <rPr>
        <sz val="10"/>
        <color rgb="FF000000"/>
        <rFont val="나눔고딕"/>
        <family val="2"/>
      </rPr>
      <t>옵션 카드 클릭 시 선택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요약 갱신</t>
    </r>
  </si>
  <si>
    <r>
      <rPr>
        <sz val="10"/>
        <color rgb="FF000000"/>
        <rFont val="Arial"/>
        <charset val="1"/>
      </rPr>
      <t xml:space="preserve">SIM-02 </t>
    </r>
    <r>
      <rPr>
        <sz val="10"/>
        <color rgb="FF000000"/>
        <rFont val="나눔고딕"/>
        <family val="2"/>
      </rPr>
      <t>완료 상태</t>
    </r>
  </si>
  <si>
    <r>
      <rPr>
        <sz val="10"/>
        <color rgb="FF000000"/>
        <rFont val="Arial"/>
        <charset val="1"/>
      </rPr>
      <t>1. '</t>
    </r>
    <r>
      <rPr>
        <sz val="10"/>
        <color rgb="FF000000"/>
        <rFont val="나눔고딕"/>
        <family val="2"/>
      </rPr>
      <t>가장 빠르게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카드 클릭</t>
    </r>
  </si>
  <si>
    <r>
      <rPr>
        <sz val="10"/>
        <color rgb="FF000000"/>
        <rFont val="나눔고딕"/>
        <family val="2"/>
      </rPr>
      <t xml:space="preserve">해당 카드만 </t>
    </r>
    <r>
      <rPr>
        <sz val="10"/>
        <color rgb="FF000000"/>
        <rFont val="Arial"/>
        <charset val="1"/>
      </rPr>
      <t xml:space="preserve">selected </t>
    </r>
    <r>
      <rPr>
        <sz val="10"/>
        <color rgb="FF000000"/>
        <rFont val="나눔고딕"/>
        <family val="2"/>
      </rPr>
      <t>가 되고 요약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상세 표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지도 애니메이션이 그 경로 기준으로 바뀐다</t>
    </r>
  </si>
  <si>
    <t>FR-3</t>
  </si>
  <si>
    <t>#options .option.selected, #summary</t>
  </si>
  <si>
    <t>SIM-04</t>
  </si>
  <si>
    <r>
      <rPr>
        <sz val="10"/>
        <color rgb="FF000000"/>
        <rFont val="Arial"/>
        <charset val="1"/>
      </rPr>
      <t xml:space="preserve">FAST </t>
    </r>
    <r>
      <rPr>
        <sz val="10"/>
        <color rgb="FF000000"/>
        <rFont val="나눔고딕"/>
        <family val="2"/>
      </rPr>
      <t xml:space="preserve">소요 일수 ≤ </t>
    </r>
    <r>
      <rPr>
        <sz val="10"/>
        <color rgb="FF000000"/>
        <rFont val="Arial"/>
        <charset val="1"/>
      </rPr>
      <t xml:space="preserve">COST </t>
    </r>
    <r>
      <rPr>
        <sz val="10"/>
        <color rgb="FF000000"/>
        <rFont val="나눔고딕"/>
        <family val="2"/>
      </rPr>
      <t>소요 일수</t>
    </r>
    <r>
      <rPr>
        <sz val="10"/>
        <color rgb="FF000000"/>
        <rFont val="Arial"/>
        <charset val="1"/>
      </rPr>
      <t xml:space="preserve">, COST </t>
    </r>
    <r>
      <rPr>
        <sz val="10"/>
        <color rgb="FF000000"/>
        <rFont val="나눔고딕"/>
        <family val="2"/>
      </rPr>
      <t xml:space="preserve">총비용 ≤ </t>
    </r>
    <r>
      <rPr>
        <sz val="10"/>
        <color rgb="FF000000"/>
        <rFont val="Arial"/>
        <charset val="1"/>
      </rPr>
      <t xml:space="preserve">FAST </t>
    </r>
    <r>
      <rPr>
        <sz val="10"/>
        <color rgb="FF000000"/>
        <rFont val="나눔고딕"/>
        <family val="2"/>
      </rPr>
      <t>총비용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</si>
  <si>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>세 카드의 소요 일수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 xml:space="preserve">총 비용 텍스트를 읽어 숫자로 변환
</t>
    </r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>대소 비교</t>
    </r>
  </si>
  <si>
    <r>
      <rPr>
        <sz val="10"/>
        <color rgb="FF000000"/>
        <rFont val="나눔고딕"/>
        <family val="2"/>
      </rPr>
      <t>가장 빠르게 안이 더 느리지 않고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운항비 최소 안의 총 비용이 더 비싸지 않다</t>
    </r>
  </si>
  <si>
    <r>
      <rPr>
        <sz val="10"/>
        <color rgb="FF000000"/>
        <rFont val="Arial"/>
        <charset val="1"/>
      </rPr>
      <t xml:space="preserve">FR-2, </t>
    </r>
    <r>
      <rPr>
        <sz val="10"/>
        <color rgb="FF000000"/>
        <rFont val="나눔고딕"/>
        <family val="2"/>
      </rPr>
      <t>수용 기준</t>
    </r>
  </si>
  <si>
    <r>
      <rPr>
        <sz val="10"/>
        <color rgb="FF000000"/>
        <rFont val="Arial"/>
        <charset val="1"/>
      </rPr>
      <t xml:space="preserve">#options .option </t>
    </r>
    <r>
      <rPr>
        <sz val="10"/>
        <color rgb="FF000000"/>
        <rFont val="나눔고딕"/>
        <family val="2"/>
      </rPr>
      <t>텍스트</t>
    </r>
  </si>
  <si>
    <r>
      <rPr>
        <sz val="10"/>
        <color rgb="FF000000"/>
        <rFont val="나눔고딕"/>
        <family val="2"/>
      </rPr>
      <t>화면 값 파싱 필요</t>
    </r>
    <r>
      <rPr>
        <sz val="10"/>
        <color rgb="FF000000"/>
        <rFont val="Arial"/>
        <charset val="1"/>
      </rPr>
      <t>(‘</t>
    </r>
    <r>
      <rPr>
        <sz val="10"/>
        <color rgb="FF000000"/>
        <rFont val="나눔고딕"/>
        <family val="2"/>
      </rPr>
      <t xml:space="preserve">소요 </t>
    </r>
    <r>
      <rPr>
        <sz val="10"/>
        <color rgb="FF000000"/>
        <rFont val="Arial"/>
        <charset val="1"/>
      </rPr>
      <t>N</t>
    </r>
    <r>
      <rPr>
        <sz val="10"/>
        <color rgb="FF000000"/>
        <rFont val="나눔고딕"/>
        <family val="2"/>
      </rPr>
      <t>일’</t>
    </r>
    <r>
      <rPr>
        <sz val="10"/>
        <color rgb="FF000000"/>
        <rFont val="Arial"/>
        <charset val="1"/>
      </rPr>
      <t>, ‘</t>
    </r>
    <r>
      <rPr>
        <sz val="10"/>
        <color rgb="FF000000"/>
        <rFont val="나눔고딕"/>
        <family val="2"/>
      </rPr>
      <t xml:space="preserve">총 비용 </t>
    </r>
    <r>
      <rPr>
        <sz val="10"/>
        <color rgb="FF000000"/>
        <rFont val="Arial"/>
        <charset val="1"/>
      </rPr>
      <t>N.NN</t>
    </r>
    <r>
      <rPr>
        <sz val="10"/>
        <color rgb="FF000000"/>
        <rFont val="나눔고딕"/>
        <family val="2"/>
      </rPr>
      <t>억원’</t>
    </r>
    <r>
      <rPr>
        <sz val="10"/>
        <color rgb="FF000000"/>
        <rFont val="Arial"/>
        <charset val="1"/>
      </rPr>
      <t>)</t>
    </r>
  </si>
  <si>
    <t>SIM-05</t>
  </si>
  <si>
    <r>
      <rPr>
        <sz val="10"/>
        <color rgb="FF000000"/>
        <rFont val="나눔고딕"/>
        <family val="2"/>
      </rPr>
      <t xml:space="preserve">총 수량 변경 시 균등 분배 </t>
    </r>
    <r>
      <rPr>
        <sz val="10"/>
        <color rgb="FF000000"/>
        <rFont val="Arial"/>
        <charset val="1"/>
      </rPr>
      <t xml:space="preserve">+ </t>
    </r>
    <r>
      <rPr>
        <sz val="10"/>
        <color rgb="FF000000"/>
        <rFont val="나눔고딕"/>
        <family val="2"/>
      </rPr>
      <t>이전 결과 무효화</t>
    </r>
  </si>
  <si>
    <r>
      <rPr>
        <sz val="10"/>
        <color rgb="FF000000"/>
        <rFont val="Arial"/>
        <charset val="1"/>
      </rPr>
      <t xml:space="preserve">1. #total </t>
    </r>
    <r>
      <rPr>
        <sz val="10"/>
        <color rgb="FF000000"/>
        <rFont val="나눔고딕"/>
        <family val="2"/>
      </rPr>
      <t xml:space="preserve">을 </t>
    </r>
    <r>
      <rPr>
        <sz val="10"/>
        <color rgb="FF000000"/>
        <rFont val="Arial"/>
        <charset val="1"/>
      </rPr>
      <t xml:space="preserve">10000 </t>
    </r>
    <r>
      <rPr>
        <sz val="10"/>
        <color rgb="FF000000"/>
        <rFont val="나눔고딕"/>
        <family val="2"/>
      </rPr>
      <t>으로 변경</t>
    </r>
    <r>
      <rPr>
        <sz val="10"/>
        <color rgb="FF000000"/>
        <rFont val="Arial"/>
        <charset val="1"/>
      </rPr>
      <t xml:space="preserve">(change </t>
    </r>
    <r>
      <rPr>
        <sz val="10"/>
        <color rgb="FF000000"/>
        <rFont val="나눔고딕"/>
        <family val="2"/>
      </rPr>
      <t>이벤트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</si>
  <si>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나눔고딕"/>
        <family val="2"/>
      </rPr>
      <t xml:space="preserve">게이지가 </t>
    </r>
    <r>
      <rPr>
        <sz val="10"/>
        <color rgb="FF000000"/>
        <rFont val="Arial"/>
        <charset val="1"/>
      </rPr>
      <t>2500K</t>
    </r>
    <r>
      <rPr>
        <sz val="10"/>
        <color rgb="FF000000"/>
        <rFont val="나눔고딕"/>
        <family val="2"/>
      </rPr>
      <t>씩으로 재분배되고 결과 영역이 숨겨진다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확정 불가</t>
    </r>
    <r>
      <rPr>
        <sz val="10"/>
        <color rgb="FF000000"/>
        <rFont val="Arial"/>
        <charset val="1"/>
      </rPr>
      <t>)</t>
    </r>
  </si>
  <si>
    <t>FR-1</t>
  </si>
  <si>
    <t>#total, #result[hidden]</t>
  </si>
  <si>
    <t>SIM-06</t>
  </si>
  <si>
    <t>게이지 조정 시 오른쪽 이웃이 반대로 조정되고 합계 유지</t>
  </si>
  <si>
    <r>
      <rPr>
        <sz val="10"/>
        <color rgb="FF000000"/>
        <rFont val="Arial"/>
        <charset val="1"/>
      </rPr>
      <t xml:space="preserve">SIM-01 </t>
    </r>
    <r>
      <rPr>
        <sz val="10"/>
        <color rgb="FF000000"/>
        <rFont val="나눔고딕"/>
        <family val="2"/>
      </rPr>
      <t>상태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각 </t>
    </r>
    <r>
      <rPr>
        <sz val="10"/>
        <color rgb="FF000000"/>
        <rFont val="Arial"/>
        <charset val="1"/>
      </rPr>
      <t>3000)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</si>
  <si>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중국 숫자칸을 </t>
    </r>
    <r>
      <rPr>
        <sz val="10"/>
        <color rgb="FF000000"/>
        <rFont val="Arial"/>
        <charset val="1"/>
      </rPr>
      <t xml:space="preserve">5000 </t>
    </r>
    <r>
      <rPr>
        <sz val="10"/>
        <color rgb="FF000000"/>
        <rFont val="나눔고딕"/>
        <family val="2"/>
      </rPr>
      <t>으로 변경</t>
    </r>
  </si>
  <si>
    <r>
      <rPr>
        <sz val="10"/>
        <color rgb="FF000000"/>
        <rFont val="나눔고딕"/>
        <family val="2"/>
      </rPr>
      <t xml:space="preserve">중국 </t>
    </r>
    <r>
      <rPr>
        <sz val="10"/>
        <color rgb="FF000000"/>
        <rFont val="Arial"/>
        <charset val="1"/>
      </rPr>
      <t xml:space="preserve">5000, </t>
    </r>
    <r>
      <rPr>
        <sz val="10"/>
        <color rgb="FF000000"/>
        <rFont val="나눔고딕"/>
        <family val="2"/>
      </rPr>
      <t xml:space="preserve">일본 </t>
    </r>
    <r>
      <rPr>
        <sz val="10"/>
        <color rgb="FF000000"/>
        <rFont val="Arial"/>
        <charset val="1"/>
      </rPr>
      <t xml:space="preserve">1000, </t>
    </r>
    <r>
      <rPr>
        <sz val="10"/>
        <color rgb="FF000000"/>
        <rFont val="나눔고딕"/>
        <family val="2"/>
      </rPr>
      <t xml:space="preserve">나머지 </t>
    </r>
    <r>
      <rPr>
        <sz val="10"/>
        <color rgb="FF000000"/>
        <rFont val="Arial"/>
        <charset val="1"/>
      </rPr>
      <t xml:space="preserve">3000. </t>
    </r>
    <r>
      <rPr>
        <sz val="10"/>
        <color rgb="FF000000"/>
        <rFont val="나눔고딕"/>
        <family val="2"/>
      </rPr>
      <t xml:space="preserve">합계 </t>
    </r>
    <r>
      <rPr>
        <sz val="10"/>
        <color rgb="FF000000"/>
        <rFont val="Arial"/>
        <charset val="1"/>
      </rPr>
      <t xml:space="preserve">12000 </t>
    </r>
    <r>
      <rPr>
        <sz val="10"/>
        <color rgb="FF000000"/>
        <rFont val="나눔고딕"/>
        <family val="2"/>
      </rPr>
      <t>유지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방문 횟수 라벨 갱신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중국 </t>
    </r>
    <r>
      <rPr>
        <sz val="10"/>
        <color rgb="FF000000"/>
        <rFont val="Arial"/>
        <charset val="1"/>
      </rPr>
      <t>2</t>
    </r>
    <r>
      <rPr>
        <sz val="10"/>
        <color rgb="FF000000"/>
        <rFont val="나눔고딕"/>
        <family val="2"/>
      </rPr>
      <t>회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 xml:space="preserve">일본 </t>
    </r>
    <r>
      <rPr>
        <sz val="10"/>
        <color rgb="FF000000"/>
        <rFont val="Arial"/>
        <charset val="1"/>
      </rPr>
      <t>1</t>
    </r>
    <r>
      <rPr>
        <sz val="10"/>
        <color rgb="FF000000"/>
        <rFont val="나눔고딕"/>
        <family val="2"/>
      </rPr>
      <t>회</t>
    </r>
    <r>
      <rPr>
        <sz val="10"/>
        <color rgb="FF000000"/>
        <rFont val="Arial"/>
        <charset val="1"/>
      </rPr>
      <t>)</t>
    </r>
  </si>
  <si>
    <t>.gauge[data-c=CHINA] .gnum, .gauge[data-c=JAPAN] .gnum</t>
  </si>
  <si>
    <t>SIM-07</t>
  </si>
  <si>
    <r>
      <rPr>
        <sz val="10"/>
        <color rgb="FF000000"/>
        <rFont val="나눔고딕"/>
        <family val="2"/>
      </rPr>
      <t>맨 오른쪽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인도네시아</t>
    </r>
    <r>
      <rPr>
        <sz val="10"/>
        <color rgb="FF000000"/>
        <rFont val="Arial"/>
        <charset val="1"/>
      </rPr>
      <t xml:space="preserve">) </t>
    </r>
    <r>
      <rPr>
        <sz val="10"/>
        <color rgb="FF000000"/>
        <rFont val="나눔고딕"/>
        <family val="2"/>
      </rPr>
      <t>조정 시 맨 왼쪽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중국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이 조정됨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</si>
  <si>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인도네시아 숫자칸을 </t>
    </r>
    <r>
      <rPr>
        <sz val="10"/>
        <color rgb="FF000000"/>
        <rFont val="Arial"/>
        <charset val="1"/>
      </rPr>
      <t xml:space="preserve">4000 </t>
    </r>
    <r>
      <rPr>
        <sz val="10"/>
        <color rgb="FF000000"/>
        <rFont val="나눔고딕"/>
        <family val="2"/>
      </rPr>
      <t>으로 변경</t>
    </r>
  </si>
  <si>
    <r>
      <rPr>
        <sz val="10"/>
        <color rgb="FF000000"/>
        <rFont val="나눔고딕"/>
        <family val="2"/>
      </rPr>
      <t xml:space="preserve">인도네시아 </t>
    </r>
    <r>
      <rPr>
        <sz val="10"/>
        <color rgb="FF000000"/>
        <rFont val="Arial"/>
        <charset val="1"/>
      </rPr>
      <t xml:space="preserve">4000, </t>
    </r>
    <r>
      <rPr>
        <sz val="10"/>
        <color rgb="FF000000"/>
        <rFont val="나눔고딕"/>
        <family val="2"/>
      </rPr>
      <t xml:space="preserve">중국 </t>
    </r>
    <r>
      <rPr>
        <sz val="10"/>
        <color rgb="FF000000"/>
        <rFont val="Arial"/>
        <charset val="1"/>
      </rPr>
      <t xml:space="preserve">2000, </t>
    </r>
    <r>
      <rPr>
        <sz val="10"/>
        <color rgb="FF000000"/>
        <rFont val="나눔고딕"/>
        <family val="2"/>
      </rPr>
      <t xml:space="preserve">합계 </t>
    </r>
    <r>
      <rPr>
        <sz val="10"/>
        <color rgb="FF000000"/>
        <rFont val="Arial"/>
        <charset val="1"/>
      </rPr>
      <t>12000</t>
    </r>
  </si>
  <si>
    <t>.gauge[data-c=INDONESIA] .gnum</t>
  </si>
  <si>
    <t>SIM-08</t>
  </si>
  <si>
    <t>이웃 합계를 넘는 값은 상한으로 보정</t>
  </si>
  <si>
    <t>경계</t>
  </si>
  <si>
    <r>
      <rPr>
        <sz val="10"/>
        <color rgb="FF000000"/>
        <rFont val="Arial"/>
        <charset val="1"/>
      </rPr>
      <t xml:space="preserve">SIM-01 </t>
    </r>
    <r>
      <rPr>
        <sz val="10"/>
        <color rgb="FF000000"/>
        <rFont val="나눔고딕"/>
        <family val="2"/>
      </rPr>
      <t>상태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중국</t>
    </r>
    <r>
      <rPr>
        <sz val="10"/>
        <color rgb="FF000000"/>
        <rFont val="Arial"/>
        <charset val="1"/>
      </rPr>
      <t>+</t>
    </r>
    <r>
      <rPr>
        <sz val="10"/>
        <color rgb="FF000000"/>
        <rFont val="나눔고딕"/>
        <family val="2"/>
      </rPr>
      <t>일본</t>
    </r>
    <r>
      <rPr>
        <sz val="10"/>
        <color rgb="FF000000"/>
        <rFont val="Arial"/>
        <charset val="1"/>
      </rPr>
      <t>=6000)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</si>
  <si>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중국 숫자칸을 </t>
    </r>
    <r>
      <rPr>
        <sz val="10"/>
        <color rgb="FF000000"/>
        <rFont val="Arial"/>
        <charset val="1"/>
      </rPr>
      <t xml:space="preserve">9999 </t>
    </r>
    <r>
      <rPr>
        <sz val="10"/>
        <color rgb="FF000000"/>
        <rFont val="나눔고딕"/>
        <family val="2"/>
      </rPr>
      <t>로 변경</t>
    </r>
  </si>
  <si>
    <r>
      <rPr>
        <sz val="10"/>
        <color rgb="FF000000"/>
        <rFont val="나눔고딕"/>
        <family val="2"/>
      </rPr>
      <t xml:space="preserve">중국 </t>
    </r>
    <r>
      <rPr>
        <sz val="10"/>
        <color rgb="FF000000"/>
        <rFont val="Arial"/>
        <charset val="1"/>
      </rPr>
      <t xml:space="preserve">6000, </t>
    </r>
    <r>
      <rPr>
        <sz val="10"/>
        <color rgb="FF000000"/>
        <rFont val="나눔고딕"/>
        <family val="2"/>
      </rPr>
      <t xml:space="preserve">일본 </t>
    </r>
    <r>
      <rPr>
        <sz val="10"/>
        <color rgb="FF000000"/>
        <rFont val="Arial"/>
        <charset val="1"/>
      </rPr>
      <t xml:space="preserve">0 </t>
    </r>
    <r>
      <rPr>
        <sz val="10"/>
        <color rgb="FF000000"/>
        <rFont val="나눔고딕"/>
        <family val="2"/>
      </rPr>
      <t>으로 보정된다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합계 유지</t>
    </r>
    <r>
      <rPr>
        <sz val="10"/>
        <color rgb="FF000000"/>
        <rFont val="Arial"/>
        <charset val="1"/>
      </rPr>
      <t>)</t>
    </r>
  </si>
  <si>
    <t>.gnum</t>
  </si>
  <si>
    <t>SIM-09</t>
  </si>
  <si>
    <t>수량 변경 시 이전 시뮬레이션 결과 숨김</t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</si>
  <si>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>일본 숫자칸 변경</t>
    </r>
  </si>
  <si>
    <r>
      <rPr>
        <sz val="10"/>
        <color rgb="FF000000"/>
        <rFont val="나눔고딕"/>
        <family val="2"/>
      </rPr>
      <t xml:space="preserve">결과 영역이 숨겨지고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주문 확정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을 누를 수 없는 상태가 된다</t>
    </r>
  </si>
  <si>
    <r>
      <rPr>
        <sz val="10"/>
        <color rgb="FF000000"/>
        <rFont val="Arial"/>
        <charset val="1"/>
      </rPr>
      <t xml:space="preserve">INTENT </t>
    </r>
    <r>
      <rPr>
        <sz val="10"/>
        <color rgb="FF000000"/>
        <rFont val="나눔고딕"/>
        <family val="2"/>
      </rPr>
      <t xml:space="preserve">의도 </t>
    </r>
    <r>
      <rPr>
        <sz val="10"/>
        <color rgb="FF000000"/>
        <rFont val="Arial"/>
        <charset val="1"/>
      </rPr>
      <t>3</t>
    </r>
  </si>
  <si>
    <t>#result[hidden]</t>
  </si>
  <si>
    <t>SIM-10</t>
  </si>
  <si>
    <r>
      <rPr>
        <sz val="10"/>
        <color rgb="FF000000"/>
        <rFont val="나눔고딕"/>
        <family val="2"/>
      </rPr>
      <t xml:space="preserve">총 수량 </t>
    </r>
    <r>
      <rPr>
        <sz val="10"/>
        <color rgb="FF000000"/>
        <rFont val="Arial"/>
        <charset val="1"/>
      </rPr>
      <t xml:space="preserve">0 </t>
    </r>
    <r>
      <rPr>
        <sz val="10"/>
        <color rgb="FF000000"/>
        <rFont val="나눔고딕"/>
        <family val="2"/>
      </rPr>
      <t>입력은 이전 값으로 복원</t>
    </r>
  </si>
  <si>
    <r>
      <rPr>
        <sz val="10"/>
        <color rgb="FF000000"/>
        <rFont val="Arial"/>
        <charset val="1"/>
      </rPr>
      <t xml:space="preserve">1. #total </t>
    </r>
    <r>
      <rPr>
        <sz val="10"/>
        <color rgb="FF000000"/>
        <rFont val="나눔고딕"/>
        <family val="2"/>
      </rPr>
      <t xml:space="preserve">에 </t>
    </r>
    <r>
      <rPr>
        <sz val="10"/>
        <color rgb="FF000000"/>
        <rFont val="Arial"/>
        <charset val="1"/>
      </rPr>
      <t xml:space="preserve">0 </t>
    </r>
    <r>
      <rPr>
        <sz val="10"/>
        <color rgb="FF000000"/>
        <rFont val="나눔고딕"/>
        <family val="2"/>
      </rPr>
      <t xml:space="preserve">입력 후 </t>
    </r>
    <r>
      <rPr>
        <sz val="10"/>
        <color rgb="FF000000"/>
        <rFont val="Arial"/>
        <charset val="1"/>
      </rPr>
      <t>change</t>
    </r>
  </si>
  <si>
    <r>
      <rPr>
        <sz val="10"/>
        <color rgb="FF000000"/>
        <rFont val="나눔고딕"/>
        <family val="2"/>
      </rPr>
      <t xml:space="preserve">입력칸이 </t>
    </r>
    <r>
      <rPr>
        <sz val="10"/>
        <color rgb="FF000000"/>
        <rFont val="Arial"/>
        <charset val="1"/>
      </rPr>
      <t xml:space="preserve">12000 </t>
    </r>
    <r>
      <rPr>
        <sz val="10"/>
        <color rgb="FF000000"/>
        <rFont val="나눔고딕"/>
        <family val="2"/>
      </rPr>
      <t>으로 되돌아가고 게이지는 그대로</t>
    </r>
  </si>
  <si>
    <t>FR-6</t>
  </si>
  <si>
    <t>#total</t>
  </si>
  <si>
    <t>SIM-11</t>
  </si>
  <si>
    <r>
      <rPr>
        <sz val="10"/>
        <color rgb="FF000000"/>
        <rFont val="나눔고딕"/>
        <family val="2"/>
      </rPr>
      <t xml:space="preserve">최소 수량 </t>
    </r>
    <r>
      <rPr>
        <sz val="10"/>
        <color rgb="FF000000"/>
        <rFont val="Arial"/>
        <charset val="1"/>
      </rPr>
      <t xml:space="preserve">1K </t>
    </r>
    <r>
      <rPr>
        <sz val="10"/>
        <color rgb="FF000000"/>
        <rFont val="나눔고딕"/>
        <family val="2"/>
      </rPr>
      <t>시뮬레이션</t>
    </r>
  </si>
  <si>
    <r>
      <rPr>
        <sz val="10"/>
        <color rgb="FF000000"/>
        <rFont val="Arial"/>
        <charset val="1"/>
      </rPr>
      <t xml:space="preserve">1. #total </t>
    </r>
    <r>
      <rPr>
        <sz val="10"/>
        <color rgb="FF000000"/>
        <rFont val="나눔고딕"/>
        <family val="2"/>
      </rPr>
      <t xml:space="preserve">에 </t>
    </r>
    <r>
      <rPr>
        <sz val="10"/>
        <color rgb="FF000000"/>
        <rFont val="Arial"/>
        <charset val="1"/>
      </rPr>
      <t xml:space="preserve">1 </t>
    </r>
    <r>
      <rPr>
        <sz val="10"/>
        <color rgb="FF000000"/>
        <rFont val="나눔고딕"/>
        <family val="2"/>
      </rPr>
      <t xml:space="preserve">입력
</t>
    </r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>시뮬레이션 실행</t>
    </r>
  </si>
  <si>
    <r>
      <rPr>
        <sz val="10"/>
        <color rgb="FF000000"/>
        <rFont val="나눔고딕"/>
        <family val="2"/>
      </rPr>
      <t>오류 없이 결과 표시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수량이 있는 한 나라만 방문하는 경로가 나온다</t>
    </r>
  </si>
  <si>
    <t>#total=1</t>
  </si>
  <si>
    <t>SIM-12</t>
  </si>
  <si>
    <r>
      <rPr>
        <sz val="10"/>
        <color rgb="FF000000"/>
        <rFont val="나눔고딕"/>
        <family val="2"/>
      </rPr>
      <t xml:space="preserve">최대 수량 </t>
    </r>
    <r>
      <rPr>
        <sz val="10"/>
        <color rgb="FF000000"/>
        <rFont val="Arial"/>
        <charset val="1"/>
      </rPr>
      <t xml:space="preserve">100,000K </t>
    </r>
    <r>
      <rPr>
        <sz val="10"/>
        <color rgb="FF000000"/>
        <rFont val="나눔고딕"/>
        <family val="2"/>
      </rPr>
      <t>시뮬레이션</t>
    </r>
  </si>
  <si>
    <r>
      <rPr>
        <sz val="10"/>
        <color rgb="FF000000"/>
        <rFont val="Arial"/>
        <charset val="1"/>
      </rPr>
      <t xml:space="preserve">1. #total </t>
    </r>
    <r>
      <rPr>
        <sz val="10"/>
        <color rgb="FF000000"/>
        <rFont val="나눔고딕"/>
        <family val="2"/>
      </rPr>
      <t xml:space="preserve">에 </t>
    </r>
    <r>
      <rPr>
        <sz val="10"/>
        <color rgb="FF000000"/>
        <rFont val="Arial"/>
        <charset val="1"/>
      </rPr>
      <t xml:space="preserve">100000 </t>
    </r>
    <r>
      <rPr>
        <sz val="10"/>
        <color rgb="FF000000"/>
        <rFont val="나눔고딕"/>
        <family val="2"/>
      </rPr>
      <t xml:space="preserve">입력
</t>
    </r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>시뮬레이션 실행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타임아웃 길게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</si>
  <si>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나눔고딕"/>
        <family val="2"/>
      </rPr>
      <t>오류 없이 결과 표시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방문 횟수가 많아도 응답이 제한 시간 내에 온다</t>
    </r>
  </si>
  <si>
    <t>#total=100000</t>
  </si>
  <si>
    <r>
      <rPr>
        <sz val="10"/>
        <color rgb="FF000000"/>
        <rFont val="나눔고딕"/>
        <family val="2"/>
      </rPr>
      <t>계산량이 큰 입력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응답 시간 측정</t>
    </r>
    <r>
      <rPr>
        <sz val="10"/>
        <color rgb="FF000000"/>
        <rFont val="Arial"/>
        <charset val="1"/>
      </rPr>
      <t>/</t>
    </r>
    <r>
      <rPr>
        <sz val="10"/>
        <color rgb="FF000000"/>
        <rFont val="나눔고딕"/>
        <family val="2"/>
      </rPr>
      <t>타임아웃 설정 필요</t>
    </r>
  </si>
  <si>
    <t>SIM-13</t>
  </si>
  <si>
    <r>
      <rPr>
        <sz val="10"/>
        <color rgb="FF000000"/>
        <rFont val="나눔고딕"/>
        <family val="2"/>
      </rPr>
      <t>최대 수량 초과</t>
    </r>
    <r>
      <rPr>
        <sz val="10"/>
        <color rgb="FF000000"/>
        <rFont val="Arial"/>
        <charset val="1"/>
      </rPr>
      <t xml:space="preserve">(100,001K) </t>
    </r>
    <r>
      <rPr>
        <sz val="10"/>
        <color rgb="FF000000"/>
        <rFont val="나눔고딕"/>
        <family val="2"/>
      </rPr>
      <t>서버 검증</t>
    </r>
  </si>
  <si>
    <r>
      <rPr>
        <sz val="10"/>
        <color rgb="FF000000"/>
        <rFont val="Arial"/>
        <charset val="1"/>
      </rPr>
      <t xml:space="preserve">1. #total </t>
    </r>
    <r>
      <rPr>
        <sz val="10"/>
        <color rgb="FF000000"/>
        <rFont val="나눔고딕"/>
        <family val="2"/>
      </rPr>
      <t xml:space="preserve">에 </t>
    </r>
    <r>
      <rPr>
        <sz val="10"/>
        <color rgb="FF000000"/>
        <rFont val="Arial"/>
        <charset val="1"/>
      </rPr>
      <t xml:space="preserve">100001 </t>
    </r>
    <r>
      <rPr>
        <sz val="10"/>
        <color rgb="FF000000"/>
        <rFont val="나눔고딕"/>
        <family val="2"/>
      </rPr>
      <t xml:space="preserve">입력
</t>
    </r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>시뮬레이션 실행</t>
    </r>
  </si>
  <si>
    <r>
      <rPr>
        <sz val="10"/>
        <color rgb="FF000000"/>
        <rFont val="Arial"/>
        <charset val="1"/>
      </rPr>
      <t xml:space="preserve">#inputError </t>
    </r>
    <r>
      <rPr>
        <sz val="10"/>
        <color rgb="FF000000"/>
        <rFont val="나눔고딕"/>
        <family val="2"/>
      </rPr>
      <t xml:space="preserve">에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 xml:space="preserve">총 생산 필요 수는 </t>
    </r>
    <r>
      <rPr>
        <sz val="10"/>
        <color rgb="FF000000"/>
        <rFont val="Arial"/>
        <charset val="1"/>
      </rPr>
      <t xml:space="preserve">100,000K </t>
    </r>
    <r>
      <rPr>
        <sz val="10"/>
        <color rgb="FF000000"/>
        <rFont val="나눔고딕"/>
        <family val="2"/>
      </rPr>
      <t>이하여야 합니다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표시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결과 영역은 숨김 유지</t>
    </r>
  </si>
  <si>
    <t>#inputError</t>
  </si>
  <si>
    <r>
      <rPr>
        <sz val="10"/>
        <color rgb="FF000000"/>
        <rFont val="나눔고딕"/>
        <family val="2"/>
      </rPr>
      <t xml:space="preserve">입력칸은 </t>
    </r>
    <r>
      <rPr>
        <sz val="10"/>
        <color rgb="FF000000"/>
        <rFont val="Arial"/>
        <charset val="1"/>
      </rPr>
      <t xml:space="preserve">max </t>
    </r>
    <r>
      <rPr>
        <sz val="10"/>
        <color rgb="FF000000"/>
        <rFont val="나눔고딕"/>
        <family val="2"/>
      </rPr>
      <t xml:space="preserve">속성이 있어도 </t>
    </r>
    <r>
      <rPr>
        <sz val="10"/>
        <color rgb="FF000000"/>
        <rFont val="Arial"/>
        <charset val="1"/>
      </rPr>
      <t xml:space="preserve">change </t>
    </r>
    <r>
      <rPr>
        <sz val="10"/>
        <color rgb="FF000000"/>
        <rFont val="나눔고딕"/>
        <family val="2"/>
      </rPr>
      <t>핸들러는 허용 → 서버 오류 경로 검증</t>
    </r>
  </si>
  <si>
    <t>SIM-14</t>
  </si>
  <si>
    <r>
      <rPr>
        <sz val="10"/>
        <color rgb="FF000000"/>
        <rFont val="나눔고딕"/>
        <family val="2"/>
      </rPr>
      <t>재고 상한을 넘는 주문의 방문 횟수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올림 계산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</si>
  <si>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중국 숫자칸을 </t>
    </r>
    <r>
      <rPr>
        <sz val="10"/>
        <color rgb="FF000000"/>
        <rFont val="Arial"/>
        <charset val="1"/>
      </rPr>
      <t xml:space="preserve">6000 </t>
    </r>
    <r>
      <rPr>
        <sz val="10"/>
        <color rgb="FF000000"/>
        <rFont val="나눔고딕"/>
        <family val="2"/>
      </rPr>
      <t>으로 변경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일본 </t>
    </r>
    <r>
      <rPr>
        <sz val="10"/>
        <color rgb="FF000000"/>
        <rFont val="Arial"/>
        <charset val="1"/>
      </rPr>
      <t xml:space="preserve">0)
2. </t>
    </r>
    <r>
      <rPr>
        <sz val="10"/>
        <color rgb="FF000000"/>
        <rFont val="나눔고딕"/>
        <family val="2"/>
      </rPr>
      <t>시뮬레이션 실행</t>
    </r>
  </si>
  <si>
    <r>
      <rPr>
        <sz val="10"/>
        <color rgb="FF000000"/>
        <rFont val="나눔고딕"/>
        <family val="2"/>
      </rPr>
      <t xml:space="preserve">중국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 xml:space="preserve">방문 </t>
    </r>
    <r>
      <rPr>
        <sz val="10"/>
        <color rgb="FF000000"/>
        <rFont val="Arial"/>
        <charset val="1"/>
      </rPr>
      <t>2</t>
    </r>
    <r>
      <rPr>
        <sz val="10"/>
        <color rgb="FF000000"/>
        <rFont val="나눔고딕"/>
        <family val="2"/>
      </rPr>
      <t>회</t>
    </r>
    <r>
      <rPr>
        <sz val="10"/>
        <color rgb="FF000000"/>
        <rFont val="Arial"/>
        <charset val="1"/>
      </rPr>
      <t xml:space="preserve">'(6000÷4000 </t>
    </r>
    <r>
      <rPr>
        <sz val="10"/>
        <color rgb="FF000000"/>
        <rFont val="나눔고딕"/>
        <family val="2"/>
      </rPr>
      <t>올림</t>
    </r>
    <r>
      <rPr>
        <sz val="10"/>
        <color rgb="FF000000"/>
        <rFont val="Arial"/>
        <charset val="1"/>
      </rPr>
      <t xml:space="preserve">), </t>
    </r>
    <r>
      <rPr>
        <sz val="10"/>
        <color rgb="FF000000"/>
        <rFont val="나눔고딕"/>
        <family val="2"/>
      </rPr>
      <t xml:space="preserve">일본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 xml:space="preserve">방문 </t>
    </r>
    <r>
      <rPr>
        <sz val="10"/>
        <color rgb="FF000000"/>
        <rFont val="Arial"/>
        <charset val="1"/>
      </rPr>
      <t>0</t>
    </r>
    <r>
      <rPr>
        <sz val="10"/>
        <color rgb="FF000000"/>
        <rFont val="나눔고딕"/>
        <family val="2"/>
      </rPr>
      <t>회</t>
    </r>
    <r>
      <rPr>
        <sz val="10"/>
        <color rgb="FF000000"/>
        <rFont val="Arial"/>
        <charset val="1"/>
      </rPr>
      <t xml:space="preserve">'. </t>
    </r>
    <r>
      <rPr>
        <sz val="10"/>
        <color rgb="FF000000"/>
        <rFont val="나눔고딕"/>
        <family val="2"/>
      </rPr>
      <t>시뮬레이션이 성공하고 중국을 두 번 나눠 수거하는 일정이 나온다</t>
    </r>
  </si>
  <si>
    <t>FR-4</t>
  </si>
  <si>
    <t>.gvisits, #details</t>
  </si>
  <si>
    <t>SIM-15</t>
  </si>
  <si>
    <r>
      <rPr>
        <sz val="10"/>
        <color rgb="FF000000"/>
        <rFont val="나눔고딕"/>
        <family val="2"/>
      </rPr>
      <t>상세 표 렌더링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주문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배 일정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일별 재고</t>
    </r>
    <r>
      <rPr>
        <sz val="10"/>
        <color rgb="FF000000"/>
        <rFont val="Arial"/>
        <charset val="1"/>
      </rPr>
      <t>/</t>
    </r>
    <r>
      <rPr>
        <sz val="10"/>
        <color rgb="FF000000"/>
        <rFont val="나눔고딕"/>
        <family val="2"/>
      </rPr>
      <t>생산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마스터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</si>
  <si>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Arial"/>
        <charset val="1"/>
      </rPr>
      <t xml:space="preserve">1. #details </t>
    </r>
    <r>
      <rPr>
        <sz val="10"/>
        <color rgb="FF000000"/>
        <rFont val="나눔고딕"/>
        <family val="2"/>
      </rPr>
      <t>영역 확인</t>
    </r>
  </si>
  <si>
    <r>
      <rPr>
        <sz val="10"/>
        <color rgb="FF000000"/>
        <rFont val="나눔고딕"/>
        <family val="2"/>
      </rPr>
      <t>주문 수량 표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배별 왕복 일정 표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일별 표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마스터 스냅샷 표가 비어 있지 않다</t>
    </r>
  </si>
  <si>
    <t>#details table</t>
  </si>
  <si>
    <t>SIM-16</t>
  </si>
  <si>
    <r>
      <rPr>
        <sz val="10"/>
        <color rgb="FF000000"/>
        <rFont val="나눔고딕"/>
        <family val="2"/>
      </rPr>
      <t>지도 애니메이션 렌더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재생</t>
    </r>
  </si>
  <si>
    <r>
      <rPr>
        <sz val="10"/>
        <color rgb="FF000000"/>
        <rFont val="Arial"/>
        <charset val="1"/>
      </rPr>
      <t xml:space="preserve">1. #anim </t>
    </r>
    <r>
      <rPr>
        <sz val="10"/>
        <color rgb="FF000000"/>
        <rFont val="나눔고딕"/>
        <family val="2"/>
      </rPr>
      <t xml:space="preserve">영역 확인
</t>
    </r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>재생</t>
    </r>
    <r>
      <rPr>
        <sz val="10"/>
        <color rgb="FF000000"/>
        <rFont val="Arial"/>
        <charset val="1"/>
      </rPr>
      <t>/</t>
    </r>
    <r>
      <rPr>
        <sz val="10"/>
        <color rgb="FF000000"/>
        <rFont val="나눔고딕"/>
        <family val="2"/>
      </rPr>
      <t>일시정지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있는 컨트롤</t>
    </r>
    <r>
      <rPr>
        <sz val="10"/>
        <color rgb="FF000000"/>
        <rFont val="Arial"/>
        <charset val="1"/>
      </rPr>
      <t xml:space="preserve">) </t>
    </r>
    <r>
      <rPr>
        <sz val="10"/>
        <color rgb="FF000000"/>
        <rFont val="나눔고딕"/>
        <family val="2"/>
      </rPr>
      <t>조작</t>
    </r>
  </si>
  <si>
    <t>지도 이미지와 배 아이콘이 표시되고 시간이 흐르면 위치가 바뀐다</t>
  </si>
  <si>
    <t>-</t>
  </si>
  <si>
    <t>#anim</t>
  </si>
  <si>
    <r>
      <rPr>
        <sz val="10"/>
        <color rgb="FF000000"/>
        <rFont val="나눔고딕"/>
        <family val="2"/>
      </rPr>
      <t>시간 의존 → 스냅샷 비교 지양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요소 존재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값 변화만 확인</t>
    </r>
  </si>
  <si>
    <t>SIM-17</t>
  </si>
  <si>
    <t>시뮬레이션 중 버튼 중복 클릭 방지</t>
  </si>
  <si>
    <r>
      <rPr>
        <sz val="10"/>
        <color rgb="FF000000"/>
        <rFont val="Arial"/>
        <charset val="1"/>
      </rPr>
      <t>1. '</t>
    </r>
    <r>
      <rPr>
        <sz val="10"/>
        <color rgb="FF000000"/>
        <rFont val="나눔고딕"/>
        <family val="2"/>
      </rPr>
      <t>시뮬레이션 실행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연속 클릭</t>
    </r>
  </si>
  <si>
    <r>
      <rPr>
        <sz val="10"/>
        <color rgb="FF000000"/>
        <rFont val="나눔고딕"/>
        <family val="2"/>
      </rPr>
      <t xml:space="preserve">요청 중에는 버튼이 </t>
    </r>
    <r>
      <rPr>
        <sz val="10"/>
        <color rgb="FF000000"/>
        <rFont val="Arial"/>
        <charset val="1"/>
      </rPr>
      <t xml:space="preserve">disabled, </t>
    </r>
    <r>
      <rPr>
        <sz val="10"/>
        <color rgb="FF000000"/>
        <rFont val="나눔고딕"/>
        <family val="2"/>
      </rPr>
      <t>완료 후 다시 활성화된다</t>
    </r>
  </si>
  <si>
    <t>#runBtn</t>
  </si>
  <si>
    <t>SIM-18</t>
  </si>
  <si>
    <r>
      <rPr>
        <sz val="10"/>
        <color rgb="FF000000"/>
        <rFont val="나눔고딕"/>
        <family val="2"/>
      </rPr>
      <t xml:space="preserve">재고 상한을 넘는 일본 </t>
    </r>
    <r>
      <rPr>
        <sz val="10"/>
        <color rgb="FF000000"/>
        <rFont val="Arial"/>
        <charset val="1"/>
      </rPr>
      <t xml:space="preserve">4,500K </t>
    </r>
    <r>
      <rPr>
        <sz val="10"/>
        <color rgb="FF000000"/>
        <rFont val="나눔고딕"/>
        <family val="2"/>
      </rPr>
      <t xml:space="preserve">단독 주문은 </t>
    </r>
    <r>
      <rPr>
        <sz val="10"/>
        <color rgb="FF000000"/>
        <rFont val="Arial"/>
        <charset val="1"/>
      </rPr>
      <t>3</t>
    </r>
    <r>
      <rPr>
        <sz val="10"/>
        <color rgb="FF000000"/>
        <rFont val="나눔고딕"/>
        <family val="2"/>
      </rPr>
      <t>번에 나눠 수거</t>
    </r>
  </si>
  <si>
    <r>
      <rPr>
        <sz val="10"/>
        <color rgb="FF000000"/>
        <rFont val="Arial"/>
        <charset val="1"/>
      </rPr>
      <t xml:space="preserve">SIM-01 </t>
    </r>
    <r>
      <rPr>
        <sz val="10"/>
        <color rgb="FF000000"/>
        <rFont val="나눔고딕"/>
        <family val="2"/>
      </rPr>
      <t>상태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기본 마스터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 xml:space="preserve">일본 재고 상한 </t>
    </r>
    <r>
      <rPr>
        <sz val="10"/>
        <color rgb="FF000000"/>
        <rFont val="Arial"/>
        <charset val="1"/>
      </rPr>
      <t>2,000K)</t>
    </r>
  </si>
  <si>
    <r>
      <rPr>
        <sz val="10"/>
        <color rgb="FF000000"/>
        <rFont val="Arial"/>
        <charset val="1"/>
      </rPr>
      <t xml:space="preserve">1. #total </t>
    </r>
    <r>
      <rPr>
        <sz val="10"/>
        <color rgb="FF000000"/>
        <rFont val="나눔고딕"/>
        <family val="2"/>
      </rPr>
      <t xml:space="preserve">을 </t>
    </r>
    <r>
      <rPr>
        <sz val="10"/>
        <color rgb="FF000000"/>
        <rFont val="Arial"/>
        <charset val="1"/>
      </rPr>
      <t xml:space="preserve">4500 </t>
    </r>
    <r>
      <rPr>
        <sz val="10"/>
        <color rgb="FF000000"/>
        <rFont val="나눔고딕"/>
        <family val="2"/>
      </rPr>
      <t xml:space="preserve">으로 변경 </t>
    </r>
    <r>
      <rPr>
        <sz val="10"/>
        <color rgb="FF000000"/>
        <rFont val="Arial"/>
        <charset val="1"/>
      </rPr>
      <t xml:space="preserve">/ 2. </t>
    </r>
    <r>
      <rPr>
        <sz val="10"/>
        <color rgb="FF000000"/>
        <rFont val="나눔고딕"/>
        <family val="2"/>
      </rPr>
      <t xml:space="preserve">게이지 연동 규칙으로 일본 </t>
    </r>
    <r>
      <rPr>
        <sz val="10"/>
        <color rgb="FF000000"/>
        <rFont val="Arial"/>
        <charset val="1"/>
      </rPr>
      <t xml:space="preserve">4,500K, </t>
    </r>
    <r>
      <rPr>
        <sz val="10"/>
        <color rgb="FF000000"/>
        <rFont val="나눔고딕"/>
        <family val="2"/>
      </rPr>
      <t xml:space="preserve">나머지 </t>
    </r>
    <r>
      <rPr>
        <sz val="10"/>
        <color rgb="FF000000"/>
        <rFont val="Arial"/>
        <charset val="1"/>
      </rPr>
      <t xml:space="preserve">0K </t>
    </r>
    <r>
      <rPr>
        <sz val="10"/>
        <color rgb="FF000000"/>
        <rFont val="나눔고딕"/>
        <family val="2"/>
      </rPr>
      <t xml:space="preserve">로 맞춘다 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예</t>
    </r>
    <r>
      <rPr>
        <sz val="10"/>
        <color rgb="FF000000"/>
        <rFont val="Arial"/>
        <charset val="1"/>
      </rPr>
      <t xml:space="preserve">: </t>
    </r>
    <r>
      <rPr>
        <sz val="10"/>
        <color rgb="FF000000"/>
        <rFont val="나눔고딕"/>
        <family val="2"/>
      </rPr>
      <t xml:space="preserve">베트남 → 인도네시아 → 중국 순서로 각각 </t>
    </r>
    <r>
      <rPr>
        <sz val="10"/>
        <color rgb="FF000000"/>
        <rFont val="Arial"/>
        <charset val="1"/>
      </rPr>
      <t xml:space="preserve">0 </t>
    </r>
    <r>
      <rPr>
        <sz val="10"/>
        <color rgb="FF000000"/>
        <rFont val="나눔고딕"/>
        <family val="2"/>
      </rPr>
      <t>입력</t>
    </r>
    <r>
      <rPr>
        <sz val="10"/>
        <color rgb="FF000000"/>
        <rFont val="Arial"/>
        <charset val="1"/>
      </rPr>
      <t xml:space="preserve">) / 3. </t>
    </r>
    <r>
      <rPr>
        <sz val="10"/>
        <color rgb="FF000000"/>
        <rFont val="나눔고딕"/>
        <family val="2"/>
      </rPr>
      <t xml:space="preserve">일본 방문 횟수 확인 </t>
    </r>
    <r>
      <rPr>
        <sz val="10"/>
        <color rgb="FF000000"/>
        <rFont val="Arial"/>
        <charset val="1"/>
      </rPr>
      <t xml:space="preserve">/ 4. </t>
    </r>
    <r>
      <rPr>
        <sz val="10"/>
        <color rgb="FF000000"/>
        <rFont val="나눔고딕"/>
        <family val="2"/>
      </rPr>
      <t xml:space="preserve">시뮬레이션 실행 후 세 경로의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배 경로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표 확인</t>
    </r>
  </si>
  <si>
    <r>
      <rPr>
        <sz val="10"/>
        <color rgb="FF000000"/>
        <rFont val="나눔고딕"/>
        <family val="2"/>
      </rPr>
      <t xml:space="preserve">일본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 xml:space="preserve">방문 </t>
    </r>
    <r>
      <rPr>
        <sz val="10"/>
        <color rgb="FF000000"/>
        <rFont val="Arial"/>
        <charset val="1"/>
      </rPr>
      <t>3</t>
    </r>
    <r>
      <rPr>
        <sz val="10"/>
        <color rgb="FF000000"/>
        <rFont val="나눔고딕"/>
        <family val="2"/>
      </rPr>
      <t>회</t>
    </r>
    <r>
      <rPr>
        <sz val="10"/>
        <color rgb="FF000000"/>
        <rFont val="Arial"/>
        <charset val="1"/>
      </rPr>
      <t xml:space="preserve">'. </t>
    </r>
    <r>
      <rPr>
        <sz val="10"/>
        <color rgb="FF000000"/>
        <rFont val="나눔고딕"/>
        <family val="2"/>
      </rPr>
      <t xml:space="preserve">세 경로 모두 일본 왕복이 </t>
    </r>
    <r>
      <rPr>
        <sz val="10"/>
        <color rgb="FF000000"/>
        <rFont val="Arial"/>
        <charset val="1"/>
      </rPr>
      <t>3</t>
    </r>
    <r>
      <rPr>
        <sz val="10"/>
        <color rgb="FF000000"/>
        <rFont val="나눔고딕"/>
        <family val="2"/>
      </rPr>
      <t xml:space="preserve">번이고 일본 적재량이 순서대로 </t>
    </r>
    <r>
      <rPr>
        <sz val="10"/>
        <color rgb="FF000000"/>
        <rFont val="Arial"/>
        <charset val="1"/>
      </rPr>
      <t>2,000K·2,000K·500K(</t>
    </r>
    <r>
      <rPr>
        <sz val="10"/>
        <color rgb="FF000000"/>
        <rFont val="나눔고딕"/>
        <family val="2"/>
      </rPr>
      <t xml:space="preserve">합 </t>
    </r>
    <r>
      <rPr>
        <sz val="10"/>
        <color rgb="FF000000"/>
        <rFont val="Arial"/>
        <charset val="1"/>
      </rPr>
      <t xml:space="preserve">4,500K). </t>
    </r>
    <r>
      <rPr>
        <sz val="10"/>
        <color rgb="FF000000"/>
        <rFont val="나눔고딕"/>
        <family val="2"/>
      </rPr>
      <t xml:space="preserve">한국에 돌아온 뒤 다시 출항하는 왕복 </t>
    </r>
    <r>
      <rPr>
        <sz val="10"/>
        <color rgb="FF000000"/>
        <rFont val="Arial"/>
        <charset val="1"/>
      </rPr>
      <t>3</t>
    </r>
    <r>
      <rPr>
        <sz val="10"/>
        <color rgb="FF000000"/>
        <rFont val="나눔고딕"/>
        <family val="2"/>
      </rPr>
      <t>줄이 표에 나온다</t>
    </r>
  </si>
  <si>
    <t>.gauge[data-c=JAPAN] .gvisits, #details</t>
  </si>
  <si>
    <t>SIM-19</t>
  </si>
  <si>
    <t>세 경로 모두 나라별 적재량 합이 주문 수량과 같음</t>
  </si>
  <si>
    <r>
      <rPr>
        <sz val="10"/>
        <color rgb="FF000000"/>
        <rFont val="Arial"/>
        <charset val="1"/>
      </rPr>
      <t xml:space="preserve">SIM-02 </t>
    </r>
    <r>
      <rPr>
        <sz val="10"/>
        <color rgb="FF000000"/>
        <rFont val="나눔고딕"/>
        <family val="2"/>
      </rPr>
      <t>완료 상태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기본 주문 </t>
    </r>
    <r>
      <rPr>
        <sz val="10"/>
        <color rgb="FF000000"/>
        <rFont val="Arial"/>
        <charset val="1"/>
      </rPr>
      <t>3,000K × 4)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</si>
  <si>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세 경로 카드를 차례로 선택 </t>
    </r>
    <r>
      <rPr>
        <sz val="10"/>
        <color rgb="FF000000"/>
        <rFont val="Arial"/>
        <charset val="1"/>
      </rPr>
      <t xml:space="preserve">/ 2. </t>
    </r>
    <r>
      <rPr>
        <sz val="10"/>
        <color rgb="FF000000"/>
        <rFont val="나눔고딕"/>
        <family val="2"/>
      </rPr>
      <t xml:space="preserve">각 경로의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배 경로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표에서 나라별 적재량을 모두 더한다</t>
    </r>
  </si>
  <si>
    <r>
      <rPr>
        <sz val="10"/>
        <color rgb="FF000000"/>
        <rFont val="나눔고딕"/>
        <family val="2"/>
      </rPr>
      <t>모든 경로에서 중국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베트남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 xml:space="preserve">인도네시아는 </t>
    </r>
    <r>
      <rPr>
        <sz val="10"/>
        <color rgb="FF000000"/>
        <rFont val="Arial"/>
        <charset val="1"/>
      </rPr>
      <t xml:space="preserve">3,000K, </t>
    </r>
    <r>
      <rPr>
        <sz val="10"/>
        <color rgb="FF000000"/>
        <rFont val="나눔고딕"/>
        <family val="2"/>
      </rPr>
      <t xml:space="preserve">일본은 </t>
    </r>
    <r>
      <rPr>
        <sz val="10"/>
        <color rgb="FF000000"/>
        <rFont val="Arial"/>
        <charset val="1"/>
      </rPr>
      <t xml:space="preserve">2,000K + 1,000K = 3,000K </t>
    </r>
    <r>
      <rPr>
        <sz val="10"/>
        <color rgb="FF000000"/>
        <rFont val="나눔고딕"/>
        <family val="2"/>
      </rPr>
      <t>이다</t>
    </r>
  </si>
  <si>
    <r>
      <rPr>
        <sz val="10"/>
        <color rgb="FF000000"/>
        <rFont val="Arial"/>
        <charset val="1"/>
      </rPr>
      <t xml:space="preserve">#details </t>
    </r>
    <r>
      <rPr>
        <sz val="10"/>
        <color rgb="FF000000"/>
        <rFont val="나눔고딕"/>
        <family val="2"/>
      </rPr>
      <t>의 배 경로 표</t>
    </r>
  </si>
  <si>
    <r>
      <rPr>
        <sz val="10"/>
        <color rgb="FF000000"/>
        <rFont val="Arial"/>
        <charset val="1"/>
      </rPr>
      <t>PRD FR-4(</t>
    </r>
    <r>
      <rPr>
        <sz val="10"/>
        <color rgb="FF000000"/>
        <rFont val="나눔고딕"/>
        <family val="2"/>
      </rPr>
      <t>한 번에 다 싣는 규칙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와 수용 기준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표 열 이름은 실행 후 확인</t>
    </r>
  </si>
  <si>
    <t>SIM-20</t>
  </si>
  <si>
    <r>
      <rPr>
        <sz val="10"/>
        <color rgb="FF000000"/>
        <rFont val="나눔고딕"/>
        <family val="2"/>
      </rPr>
      <t>기본 주문</t>
    </r>
    <r>
      <rPr>
        <sz val="10"/>
        <color rgb="FF000000"/>
        <rFont val="Arial"/>
        <charset val="1"/>
      </rPr>
      <t xml:space="preserve">(12,000K </t>
    </r>
    <r>
      <rPr>
        <sz val="10"/>
        <color rgb="FF000000"/>
        <rFont val="나눔고딕"/>
        <family val="2"/>
      </rPr>
      <t>균등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 xml:space="preserve">의 생산 원가는 어느 경로든 </t>
    </r>
    <r>
      <rPr>
        <sz val="10"/>
        <color rgb="FF000000"/>
        <rFont val="Arial"/>
        <charset val="1"/>
      </rPr>
      <t>78.00</t>
    </r>
    <r>
      <rPr>
        <sz val="10"/>
        <color rgb="FF000000"/>
        <rFont val="나눔고딕"/>
        <family val="2"/>
      </rPr>
      <t>억원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</si>
  <si>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세 경로 카드를 차례로 선택 </t>
    </r>
    <r>
      <rPr>
        <sz val="10"/>
        <color rgb="FF000000"/>
        <rFont val="Arial"/>
        <charset val="1"/>
      </rPr>
      <t xml:space="preserve">/ 2. </t>
    </r>
    <r>
      <rPr>
        <sz val="10"/>
        <color rgb="FF000000"/>
        <rFont val="나눔고딕"/>
        <family val="2"/>
      </rPr>
      <t xml:space="preserve">요약의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생산 원가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확인</t>
    </r>
  </si>
  <si>
    <r>
      <rPr>
        <sz val="10"/>
        <color rgb="FF000000"/>
        <rFont val="나눔고딕"/>
        <family val="2"/>
      </rPr>
      <t xml:space="preserve">세 경로 모두 생산 원가가 </t>
    </r>
    <r>
      <rPr>
        <sz val="10"/>
        <color rgb="FF000000"/>
        <rFont val="Arial"/>
        <charset val="1"/>
      </rPr>
      <t>78.00</t>
    </r>
    <r>
      <rPr>
        <sz val="10"/>
        <color rgb="FF000000"/>
        <rFont val="나눔고딕"/>
        <family val="2"/>
      </rPr>
      <t xml:space="preserve">억원이다 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생산 원가는 수량 </t>
    </r>
    <r>
      <rPr>
        <sz val="10"/>
        <color rgb="FF000000"/>
        <rFont val="Arial"/>
        <charset val="1"/>
      </rPr>
      <t xml:space="preserve">× </t>
    </r>
    <r>
      <rPr>
        <sz val="10"/>
        <color rgb="FF000000"/>
        <rFont val="나눔고딕"/>
        <family val="2"/>
      </rPr>
      <t>셀당 원가라 경로와 무관</t>
    </r>
    <r>
      <rPr>
        <sz val="10"/>
        <color rgb="FF000000"/>
        <rFont val="Arial"/>
        <charset val="1"/>
      </rPr>
      <t>)</t>
    </r>
  </si>
  <si>
    <t>FR-5</t>
  </si>
  <si>
    <r>
      <rPr>
        <sz val="10"/>
        <color rgb="FF000000"/>
        <rFont val="Arial"/>
        <charset val="1"/>
      </rPr>
      <t xml:space="preserve">#summary </t>
    </r>
    <r>
      <rPr>
        <sz val="10"/>
        <color rgb="FF000000"/>
        <rFont val="나눔고딕"/>
        <family val="2"/>
      </rPr>
      <t>의 생산 원가</t>
    </r>
  </si>
  <si>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테스트 데이터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시트 계산과 같음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마스터 기본값이 바뀌면 기대값도 바뀜</t>
    </r>
  </si>
  <si>
    <t>SIM-21</t>
  </si>
  <si>
    <r>
      <rPr>
        <sz val="10"/>
        <color rgb="FF000000"/>
        <rFont val="나눔고딕"/>
        <family val="2"/>
      </rPr>
      <t xml:space="preserve">베트남 </t>
    </r>
    <r>
      <rPr>
        <sz val="10"/>
        <color rgb="FF000000"/>
        <rFont val="Arial"/>
        <charset val="1"/>
      </rPr>
      <t xml:space="preserve">2,000K </t>
    </r>
    <r>
      <rPr>
        <sz val="10"/>
        <color rgb="FF000000"/>
        <rFont val="나눔고딕"/>
        <family val="2"/>
      </rPr>
      <t>단독 주문</t>
    </r>
    <r>
      <rPr>
        <sz val="10"/>
        <color rgb="FF000000"/>
        <rFont val="Arial"/>
        <charset val="1"/>
      </rPr>
      <t xml:space="preserve">: </t>
    </r>
    <r>
      <rPr>
        <sz val="10"/>
        <color rgb="FF000000"/>
        <rFont val="나눔고딕"/>
        <family val="2"/>
      </rPr>
      <t>늦게 출항하고 한국 대기는 운항비가 들지 않음</t>
    </r>
  </si>
  <si>
    <r>
      <rPr>
        <sz val="10"/>
        <color rgb="FF000000"/>
        <rFont val="Arial"/>
        <charset val="1"/>
      </rPr>
      <t xml:space="preserve">SIM-01 </t>
    </r>
    <r>
      <rPr>
        <sz val="10"/>
        <color rgb="FF000000"/>
        <rFont val="나눔고딕"/>
        <family val="2"/>
      </rPr>
      <t>상태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기본 마스터</t>
    </r>
    <r>
      <rPr>
        <sz val="10"/>
        <color rgb="FF000000"/>
        <rFont val="Arial"/>
        <charset val="1"/>
      </rPr>
      <t xml:space="preserve">: </t>
    </r>
    <r>
      <rPr>
        <sz val="10"/>
        <color rgb="FF000000"/>
        <rFont val="나눔고딕"/>
        <family val="2"/>
      </rPr>
      <t xml:space="preserve">베트남 하루 </t>
    </r>
    <r>
      <rPr>
        <sz val="10"/>
        <color rgb="FF000000"/>
        <rFont val="Arial"/>
        <charset val="1"/>
      </rPr>
      <t xml:space="preserve">200K, </t>
    </r>
    <r>
      <rPr>
        <sz val="10"/>
        <color rgb="FF000000"/>
        <rFont val="나눔고딕"/>
        <family val="2"/>
      </rPr>
      <t xml:space="preserve">한국–베트남 </t>
    </r>
    <r>
      <rPr>
        <sz val="10"/>
        <color rgb="FF000000"/>
        <rFont val="Arial"/>
        <charset val="1"/>
      </rPr>
      <t>5</t>
    </r>
    <r>
      <rPr>
        <sz val="10"/>
        <color rgb="FF000000"/>
        <rFont val="나눔고딕"/>
        <family val="2"/>
      </rPr>
      <t>일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 xml:space="preserve">배 </t>
    </r>
    <r>
      <rPr>
        <sz val="10"/>
        <color rgb="FF000000"/>
        <rFont val="Arial"/>
        <charset val="1"/>
      </rPr>
      <t>3</t>
    </r>
    <r>
      <rPr>
        <sz val="10"/>
        <color rgb="FF000000"/>
        <rFont val="나눔고딕"/>
        <family val="2"/>
      </rPr>
      <t>척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</si>
  <si>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Arial"/>
        <charset val="1"/>
      </rPr>
      <t xml:space="preserve">1. #total </t>
    </r>
    <r>
      <rPr>
        <sz val="10"/>
        <color rgb="FF000000"/>
        <rFont val="나눔고딕"/>
        <family val="2"/>
      </rPr>
      <t xml:space="preserve">을 </t>
    </r>
    <r>
      <rPr>
        <sz val="10"/>
        <color rgb="FF000000"/>
        <rFont val="Arial"/>
        <charset val="1"/>
      </rPr>
      <t xml:space="preserve">2000 </t>
    </r>
    <r>
      <rPr>
        <sz val="10"/>
        <color rgb="FF000000"/>
        <rFont val="나눔고딕"/>
        <family val="2"/>
      </rPr>
      <t>으로 변경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각 </t>
    </r>
    <r>
      <rPr>
        <sz val="10"/>
        <color rgb="FF000000"/>
        <rFont val="Arial"/>
        <charset val="1"/>
      </rPr>
      <t xml:space="preserve">500K) / 2. </t>
    </r>
    <r>
      <rPr>
        <sz val="10"/>
        <color rgb="FF000000"/>
        <rFont val="나눔고딕"/>
        <family val="2"/>
      </rPr>
      <t xml:space="preserve">게이지를 베트남 </t>
    </r>
    <r>
      <rPr>
        <sz val="10"/>
        <color rgb="FF000000"/>
        <rFont val="Arial"/>
        <charset val="1"/>
      </rPr>
      <t xml:space="preserve">2,000K, </t>
    </r>
    <r>
      <rPr>
        <sz val="10"/>
        <color rgb="FF000000"/>
        <rFont val="나눔고딕"/>
        <family val="2"/>
      </rPr>
      <t xml:space="preserve">나머지 </t>
    </r>
    <r>
      <rPr>
        <sz val="10"/>
        <color rgb="FF000000"/>
        <rFont val="Arial"/>
        <charset val="1"/>
      </rPr>
      <t xml:space="preserve">0K </t>
    </r>
    <r>
      <rPr>
        <sz val="10"/>
        <color rgb="FF000000"/>
        <rFont val="나눔고딕"/>
        <family val="2"/>
      </rPr>
      <t xml:space="preserve">로 맞춘다 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예</t>
    </r>
    <r>
      <rPr>
        <sz val="10"/>
        <color rgb="FF000000"/>
        <rFont val="Arial"/>
        <charset val="1"/>
      </rPr>
      <t xml:space="preserve">: </t>
    </r>
    <r>
      <rPr>
        <sz val="10"/>
        <color rgb="FF000000"/>
        <rFont val="나눔고딕"/>
        <family val="2"/>
      </rPr>
      <t xml:space="preserve">중국 → 일본 → 인도네시아 → 중국 → 일본 순서로 각각 </t>
    </r>
    <r>
      <rPr>
        <sz val="10"/>
        <color rgb="FF000000"/>
        <rFont val="Arial"/>
        <charset val="1"/>
      </rPr>
      <t xml:space="preserve">0 </t>
    </r>
    <r>
      <rPr>
        <sz val="10"/>
        <color rgb="FF000000"/>
        <rFont val="나눔고딕"/>
        <family val="2"/>
      </rPr>
      <t>입력</t>
    </r>
    <r>
      <rPr>
        <sz val="10"/>
        <color rgb="FF000000"/>
        <rFont val="Arial"/>
        <charset val="1"/>
      </rPr>
      <t xml:space="preserve">) / 3. </t>
    </r>
    <r>
      <rPr>
        <sz val="10"/>
        <color rgb="FF000000"/>
        <rFont val="나눔고딕"/>
        <family val="2"/>
      </rPr>
      <t>시뮬레이션 실행</t>
    </r>
  </si>
  <si>
    <r>
      <rPr>
        <sz val="10"/>
        <color rgb="FF000000"/>
        <rFont val="나눔고딕"/>
        <family val="2"/>
      </rPr>
      <t xml:space="preserve">세 경로 모두 배 </t>
    </r>
    <r>
      <rPr>
        <sz val="10"/>
        <color rgb="FF000000"/>
        <rFont val="Arial"/>
        <charset val="1"/>
      </rPr>
      <t>1</t>
    </r>
    <r>
      <rPr>
        <sz val="10"/>
        <color rgb="FF000000"/>
        <rFont val="나눔고딕"/>
        <family val="2"/>
      </rPr>
      <t>척</t>
    </r>
    <r>
      <rPr>
        <sz val="10"/>
        <color rgb="FF000000"/>
        <rFont val="Arial"/>
        <charset val="1"/>
      </rPr>
      <t>, 5</t>
    </r>
    <r>
      <rPr>
        <sz val="10"/>
        <color rgb="FF000000"/>
        <rFont val="나눔고딕"/>
        <family val="2"/>
      </rPr>
      <t xml:space="preserve">일째 출항 </t>
    </r>
    <r>
      <rPr>
        <sz val="10"/>
        <color rgb="FF000000"/>
        <rFont val="Arial"/>
        <charset val="1"/>
      </rPr>
      <t>· 10</t>
    </r>
    <r>
      <rPr>
        <sz val="10"/>
        <color rgb="FF000000"/>
        <rFont val="나눔고딕"/>
        <family val="2"/>
      </rPr>
      <t xml:space="preserve">일째 도착 </t>
    </r>
    <r>
      <rPr>
        <sz val="10"/>
        <color rgb="FF000000"/>
        <rFont val="Arial"/>
        <charset val="1"/>
      </rPr>
      <t>· 15</t>
    </r>
    <r>
      <rPr>
        <sz val="10"/>
        <color rgb="FF000000"/>
        <rFont val="나눔고딕"/>
        <family val="2"/>
      </rPr>
      <t>일째 한국 복귀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 xml:space="preserve">소요 </t>
    </r>
    <r>
      <rPr>
        <sz val="10"/>
        <color rgb="FF000000"/>
        <rFont val="Arial"/>
        <charset val="1"/>
      </rPr>
      <t>15</t>
    </r>
    <r>
      <rPr>
        <sz val="10"/>
        <color rgb="FF000000"/>
        <rFont val="나눔고딕"/>
        <family val="2"/>
      </rPr>
      <t>일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 xml:space="preserve">운항비 </t>
    </r>
    <r>
      <rPr>
        <sz val="10"/>
        <color rgb="FF000000"/>
        <rFont val="Arial"/>
        <charset val="1"/>
      </rPr>
      <t>10.00</t>
    </r>
    <r>
      <rPr>
        <sz val="10"/>
        <color rgb="FF000000"/>
        <rFont val="나눔고딕"/>
        <family val="2"/>
      </rPr>
      <t>억원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바다에서 </t>
    </r>
    <r>
      <rPr>
        <sz val="10"/>
        <color rgb="FF000000"/>
        <rFont val="Arial"/>
        <charset val="1"/>
      </rPr>
      <t>10</t>
    </r>
    <r>
      <rPr>
        <sz val="10"/>
        <color rgb="FF000000"/>
        <rFont val="나눔고딕"/>
        <family val="2"/>
      </rPr>
      <t>일</t>
    </r>
    <r>
      <rPr>
        <sz val="10"/>
        <color rgb="FF000000"/>
        <rFont val="Arial"/>
        <charset val="1"/>
      </rPr>
      <t xml:space="preserve">), </t>
    </r>
    <r>
      <rPr>
        <sz val="10"/>
        <color rgb="FF000000"/>
        <rFont val="나눔고딕"/>
        <family val="2"/>
      </rPr>
      <t xml:space="preserve">생산 원가 </t>
    </r>
    <r>
      <rPr>
        <sz val="10"/>
        <color rgb="FF000000"/>
        <rFont val="Arial"/>
        <charset val="1"/>
      </rPr>
      <t>11.00</t>
    </r>
    <r>
      <rPr>
        <sz val="10"/>
        <color rgb="FF000000"/>
        <rFont val="나눔고딕"/>
        <family val="2"/>
      </rPr>
      <t>억원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 xml:space="preserve">총 비용 </t>
    </r>
    <r>
      <rPr>
        <sz val="10"/>
        <color rgb="FF000000"/>
        <rFont val="Arial"/>
        <charset val="1"/>
      </rPr>
      <t>21.00</t>
    </r>
    <r>
      <rPr>
        <sz val="10"/>
        <color rgb="FF000000"/>
        <rFont val="나눔고딕"/>
        <family val="2"/>
      </rPr>
      <t>억원</t>
    </r>
  </si>
  <si>
    <t>FR-4, FR-5</t>
  </si>
  <si>
    <t>#options, #summary, #details</t>
  </si>
  <si>
    <r>
      <rPr>
        <sz val="10"/>
        <color rgb="FF000000"/>
        <rFont val="나눔고딕"/>
        <family val="2"/>
      </rPr>
      <t>손으로 계산해 확인한 값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생산 </t>
    </r>
    <r>
      <rPr>
        <sz val="10"/>
        <color rgb="FF000000"/>
        <rFont val="Arial"/>
        <charset val="1"/>
      </rPr>
      <t>10</t>
    </r>
    <r>
      <rPr>
        <sz val="10"/>
        <color rgb="FF000000"/>
        <rFont val="나눔고딕"/>
        <family val="2"/>
      </rPr>
      <t xml:space="preserve">일 − 항해 </t>
    </r>
    <r>
      <rPr>
        <sz val="10"/>
        <color rgb="FF000000"/>
        <rFont val="Arial"/>
        <charset val="1"/>
      </rPr>
      <t>5</t>
    </r>
    <r>
      <rPr>
        <sz val="10"/>
        <color rgb="FF000000"/>
        <rFont val="나눔고딕"/>
        <family val="2"/>
      </rPr>
      <t xml:space="preserve">일 </t>
    </r>
    <r>
      <rPr>
        <sz val="10"/>
        <color rgb="FF000000"/>
        <rFont val="Arial"/>
        <charset val="1"/>
      </rPr>
      <t>= 5</t>
    </r>
    <r>
      <rPr>
        <sz val="10"/>
        <color rgb="FF000000"/>
        <rFont val="나눔고딕"/>
        <family val="2"/>
      </rPr>
      <t>일째 출항</t>
    </r>
    <r>
      <rPr>
        <sz val="10"/>
        <color rgb="FF000000"/>
        <rFont val="Arial"/>
        <charset val="1"/>
      </rPr>
      <t xml:space="preserve">). </t>
    </r>
    <r>
      <rPr>
        <sz val="10"/>
        <color rgb="FF000000"/>
        <rFont val="나눔고딕"/>
        <family val="2"/>
      </rPr>
      <t>표 열 이름은 실행 후 확인</t>
    </r>
  </si>
  <si>
    <t>SIM-22</t>
  </si>
  <si>
    <t>한 나라는 한 척의 배만 방문</t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</si>
  <si>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세 경로 카드를 차례로 선택 </t>
    </r>
    <r>
      <rPr>
        <sz val="10"/>
        <color rgb="FF000000"/>
        <rFont val="Arial"/>
        <charset val="1"/>
      </rPr>
      <t xml:space="preserve">/ 2. </t>
    </r>
    <r>
      <rPr>
        <sz val="10"/>
        <color rgb="FF000000"/>
        <rFont val="나눔고딕"/>
        <family val="2"/>
      </rPr>
      <t>배 경로 표에서 나라별로 어느 배가 방문했는지 모은다</t>
    </r>
  </si>
  <si>
    <r>
      <rPr>
        <sz val="10"/>
        <color rgb="FF000000"/>
        <rFont val="나눔고딕"/>
        <family val="2"/>
      </rPr>
      <t xml:space="preserve">모든 경로에서 각 나라는 한 척의 배에만 나타난다 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같은 나라가 두 배에 나뉘지 않음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</si>
  <si>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Arial"/>
        <charset val="1"/>
      </rPr>
      <t xml:space="preserve">PRD FR-4. </t>
    </r>
    <r>
      <rPr>
        <sz val="10"/>
        <color rgb="FF000000"/>
        <rFont val="나눔고딕"/>
        <family val="2"/>
      </rPr>
      <t>표 구조를 파싱해야 해서 구현 난이도 중간</t>
    </r>
  </si>
  <si>
    <t>CNF-01</t>
  </si>
  <si>
    <t>주문 확정</t>
  </si>
  <si>
    <t>메모 없이 주문 확정</t>
  </si>
  <si>
    <r>
      <rPr>
        <sz val="10"/>
        <color rgb="FF000000"/>
        <rFont val="Arial"/>
        <charset val="1"/>
      </rPr>
      <t>1. '</t>
    </r>
    <r>
      <rPr>
        <sz val="10"/>
        <color rgb="FF000000"/>
        <rFont val="나눔고딕"/>
        <family val="2"/>
      </rPr>
      <t>주문 확정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클릭</t>
    </r>
  </si>
  <si>
    <r>
      <rPr>
        <sz val="10"/>
        <color rgb="FF000000"/>
        <rFont val="Arial"/>
        <charset val="1"/>
      </rPr>
      <t xml:space="preserve">/orders/{id} </t>
    </r>
    <r>
      <rPr>
        <sz val="10"/>
        <color rgb="FF000000"/>
        <rFont val="나눔고딕"/>
        <family val="2"/>
      </rPr>
      <t>상세로 이동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 xml:space="preserve">상태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확정</t>
    </r>
    <r>
      <rPr>
        <sz val="10"/>
        <color rgb="FF000000"/>
        <rFont val="Arial"/>
        <charset val="1"/>
      </rPr>
      <t xml:space="preserve">', </t>
    </r>
    <r>
      <rPr>
        <sz val="10"/>
        <color rgb="FF000000"/>
        <rFont val="나눔고딕"/>
        <family val="2"/>
      </rPr>
      <t xml:space="preserve">작성자 </t>
    </r>
    <r>
      <rPr>
        <sz val="10"/>
        <color rgb="FF000000"/>
        <rFont val="Arial"/>
        <charset val="1"/>
      </rPr>
      <t xml:space="preserve">admin, </t>
    </r>
    <r>
      <rPr>
        <sz val="10"/>
        <color rgb="FF000000"/>
        <rFont val="나눔고딕"/>
        <family val="2"/>
      </rPr>
      <t xml:space="preserve">메모 </t>
    </r>
    <r>
      <rPr>
        <sz val="10"/>
        <color rgb="FF000000"/>
        <rFont val="Arial"/>
        <charset val="1"/>
      </rPr>
      <t xml:space="preserve">'-'. </t>
    </r>
    <r>
      <rPr>
        <sz val="10"/>
        <color rgb="FF000000"/>
        <rFont val="나눔고딕"/>
        <family val="2"/>
      </rPr>
      <t xml:space="preserve">상태 이력 </t>
    </r>
    <r>
      <rPr>
        <sz val="10"/>
        <color rgb="FF000000"/>
        <rFont val="Arial"/>
        <charset val="1"/>
      </rPr>
      <t>1</t>
    </r>
    <r>
      <rPr>
        <sz val="10"/>
        <color rgb="FF000000"/>
        <rFont val="나눔고딕"/>
        <family val="2"/>
      </rPr>
      <t>건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이전 </t>
    </r>
    <r>
      <rPr>
        <sz val="10"/>
        <color rgb="FF000000"/>
        <rFont val="Arial"/>
        <charset val="1"/>
      </rPr>
      <t xml:space="preserve">'-' → </t>
    </r>
    <r>
      <rPr>
        <sz val="10"/>
        <color rgb="FF000000"/>
        <rFont val="나눔고딕"/>
        <family val="2"/>
      </rPr>
      <t xml:space="preserve">새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확정</t>
    </r>
    <r>
      <rPr>
        <sz val="10"/>
        <color rgb="FF000000"/>
        <rFont val="Arial"/>
        <charset val="1"/>
      </rPr>
      <t>')</t>
    </r>
  </si>
  <si>
    <t>FR-8, FR-14, FR-21</t>
  </si>
  <si>
    <t>#confirmBtn → /orders/\d+</t>
  </si>
  <si>
    <t>Y</t>
  </si>
  <si>
    <r>
      <rPr>
        <sz val="10"/>
        <color rgb="FF000000"/>
        <rFont val="나눔고딕"/>
        <family val="2"/>
      </rPr>
      <t>있음</t>
    </r>
    <r>
      <rPr>
        <sz val="10"/>
        <color rgb="FF000000"/>
        <rFont val="Arial"/>
        <charset val="1"/>
      </rPr>
      <t xml:space="preserve">(OrderFlowTests, </t>
    </r>
    <r>
      <rPr>
        <sz val="10"/>
        <color rgb="FF000000"/>
        <rFont val="나눔고딕"/>
        <family val="2"/>
      </rPr>
      <t>서비스 수준</t>
    </r>
    <r>
      <rPr>
        <sz val="10"/>
        <color rgb="FF000000"/>
        <rFont val="Arial"/>
        <charset val="1"/>
      </rPr>
      <t>)</t>
    </r>
  </si>
  <si>
    <t>CNF-02</t>
  </si>
  <si>
    <t>메모 입력 후 확정</t>
  </si>
  <si>
    <r>
      <rPr>
        <sz val="10"/>
        <color rgb="FF000000"/>
        <rFont val="Arial"/>
        <charset val="1"/>
      </rPr>
      <t xml:space="preserve">1. #memo </t>
    </r>
    <r>
      <rPr>
        <sz val="10"/>
        <color rgb="FF000000"/>
        <rFont val="나눔고딕"/>
        <family val="2"/>
      </rPr>
      <t xml:space="preserve">에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테스트 메모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 xml:space="preserve">입력
</t>
    </r>
    <r>
      <rPr>
        <sz val="10"/>
        <color rgb="FF000000"/>
        <rFont val="Arial"/>
        <charset val="1"/>
      </rPr>
      <t>2. '</t>
    </r>
    <r>
      <rPr>
        <sz val="10"/>
        <color rgb="FF000000"/>
        <rFont val="나눔고딕"/>
        <family val="2"/>
      </rPr>
      <t>주문 확정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클릭</t>
    </r>
  </si>
  <si>
    <r>
      <rPr>
        <sz val="10"/>
        <color rgb="FF000000"/>
        <rFont val="나눔고딕"/>
        <family val="2"/>
      </rPr>
      <t xml:space="preserve">상세의 메모 항목에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테스트 메모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가 표시된다</t>
    </r>
  </si>
  <si>
    <t>FR-8</t>
  </si>
  <si>
    <t>#memo</t>
  </si>
  <si>
    <t>CNF-03</t>
  </si>
  <si>
    <t>선택한 경로로 확정</t>
  </si>
  <si>
    <r>
      <rPr>
        <sz val="10"/>
        <color rgb="FF000000"/>
        <rFont val="Arial"/>
        <charset val="1"/>
      </rPr>
      <t>1. '</t>
    </r>
    <r>
      <rPr>
        <sz val="10"/>
        <color rgb="FF000000"/>
        <rFont val="나눔고딕"/>
        <family val="2"/>
      </rPr>
      <t>가장 빠르게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 xml:space="preserve">카드 선택
</t>
    </r>
    <r>
      <rPr>
        <sz val="10"/>
        <color rgb="FF000000"/>
        <rFont val="Arial"/>
        <charset val="1"/>
      </rPr>
      <t>2. '</t>
    </r>
    <r>
      <rPr>
        <sz val="10"/>
        <color rgb="FF000000"/>
        <rFont val="나눔고딕"/>
        <family val="2"/>
      </rPr>
      <t>주문 확정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클릭</t>
    </r>
  </si>
  <si>
    <r>
      <rPr>
        <sz val="10"/>
        <color rgb="FF000000"/>
        <rFont val="나눔고딕"/>
        <family val="2"/>
      </rPr>
      <t xml:space="preserve">상세의 경로가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가장 빠르게</t>
    </r>
    <r>
      <rPr>
        <sz val="10"/>
        <color rgb="FF000000"/>
        <rFont val="Arial"/>
        <charset val="1"/>
      </rPr>
      <t xml:space="preserve">', </t>
    </r>
    <r>
      <rPr>
        <sz val="10"/>
        <color rgb="FF000000"/>
        <rFont val="나눔고딕"/>
        <family val="2"/>
      </rPr>
      <t>소요 일수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비용이 선택 카드와 같다</t>
    </r>
  </si>
  <si>
    <t>FR-8, FR-11</t>
  </si>
  <si>
    <t>#options .option[data-type=FAST]</t>
  </si>
  <si>
    <t>CNF-04</t>
  </si>
  <si>
    <t>시뮬레이션 전에는 확정 영역이 보이지 않음</t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</si>
  <si>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>결과 영역 확인</t>
    </r>
  </si>
  <si>
    <r>
      <rPr>
        <sz val="10"/>
        <color rgb="FF000000"/>
        <rFont val="Arial"/>
        <charset val="1"/>
      </rPr>
      <t xml:space="preserve">#result </t>
    </r>
    <r>
      <rPr>
        <sz val="10"/>
        <color rgb="FF000000"/>
        <rFont val="나눔고딕"/>
        <family val="2"/>
      </rPr>
      <t xml:space="preserve">가 </t>
    </r>
    <r>
      <rPr>
        <sz val="10"/>
        <color rgb="FF000000"/>
        <rFont val="Arial"/>
        <charset val="1"/>
      </rPr>
      <t xml:space="preserve">hidden </t>
    </r>
    <r>
      <rPr>
        <sz val="10"/>
        <color rgb="FF000000"/>
        <rFont val="나눔고딕"/>
        <family val="2"/>
      </rPr>
      <t xml:space="preserve">이라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주문 확정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을 누를 수 없다</t>
    </r>
  </si>
  <si>
    <t>CNF-05</t>
  </si>
  <si>
    <r>
      <rPr>
        <sz val="10"/>
        <color rgb="FF000000"/>
        <rFont val="나눔고딕"/>
        <family val="2"/>
      </rPr>
      <t>메모 최대 길이</t>
    </r>
    <r>
      <rPr>
        <sz val="10"/>
        <color rgb="FF000000"/>
        <rFont val="Arial"/>
        <charset val="1"/>
      </rPr>
      <t>(1000</t>
    </r>
    <r>
      <rPr>
        <sz val="10"/>
        <color rgb="FF000000"/>
        <rFont val="나눔고딕"/>
        <family val="2"/>
      </rPr>
      <t>자</t>
    </r>
    <r>
      <rPr>
        <sz val="10"/>
        <color rgb="FF000000"/>
        <rFont val="Arial"/>
        <charset val="1"/>
      </rPr>
      <t xml:space="preserve">) </t>
    </r>
    <r>
      <rPr>
        <sz val="10"/>
        <color rgb="FF000000"/>
        <rFont val="나눔고딕"/>
        <family val="2"/>
      </rPr>
      <t>제한</t>
    </r>
  </si>
  <si>
    <r>
      <rPr>
        <sz val="10"/>
        <color rgb="FF000000"/>
        <rFont val="Arial"/>
        <charset val="1"/>
      </rPr>
      <t xml:space="preserve">1. #memo </t>
    </r>
    <r>
      <rPr>
        <sz val="10"/>
        <color rgb="FF000000"/>
        <rFont val="나눔고딕"/>
        <family val="2"/>
      </rPr>
      <t xml:space="preserve">에 </t>
    </r>
    <r>
      <rPr>
        <sz val="10"/>
        <color rgb="FF000000"/>
        <rFont val="Arial"/>
        <charset val="1"/>
      </rPr>
      <t>1001</t>
    </r>
    <r>
      <rPr>
        <sz val="10"/>
        <color rgb="FF000000"/>
        <rFont val="나눔고딕"/>
        <family val="2"/>
      </rPr>
      <t>자 입력</t>
    </r>
  </si>
  <si>
    <r>
      <rPr>
        <sz val="10"/>
        <color rgb="FF000000"/>
        <rFont val="Arial"/>
        <charset val="1"/>
      </rPr>
      <t xml:space="preserve">textarea maxlength </t>
    </r>
    <r>
      <rPr>
        <sz val="10"/>
        <color rgb="FF000000"/>
        <rFont val="나눔고딕"/>
        <family val="2"/>
      </rPr>
      <t xml:space="preserve">로 </t>
    </r>
    <r>
      <rPr>
        <sz val="10"/>
        <color rgb="FF000000"/>
        <rFont val="Arial"/>
        <charset val="1"/>
      </rPr>
      <t>1000</t>
    </r>
    <r>
      <rPr>
        <sz val="10"/>
        <color rgb="FF000000"/>
        <rFont val="나눔고딕"/>
        <family val="2"/>
      </rPr>
      <t>자까지만 입력된다</t>
    </r>
  </si>
  <si>
    <t>#memo[maxlength=1000]</t>
  </si>
  <si>
    <t>CNF-06</t>
  </si>
  <si>
    <r>
      <rPr>
        <sz val="10"/>
        <color rgb="FF000000"/>
        <rFont val="나눔고딕"/>
        <family val="2"/>
      </rPr>
      <t>시뮬레이션 후 마스터 변경 시 확정 거부</t>
    </r>
    <r>
      <rPr>
        <sz val="10"/>
        <color rgb="FF000000"/>
        <rFont val="Arial"/>
        <charset val="1"/>
      </rPr>
      <t>(409)</t>
    </r>
  </si>
  <si>
    <r>
      <rPr>
        <sz val="10"/>
        <color rgb="FF000000"/>
        <rFont val="나눔고딕"/>
        <family val="2"/>
      </rPr>
      <t>마스터 원복 방법 준비</t>
    </r>
    <r>
      <rPr>
        <sz val="10"/>
        <color rgb="FF000000"/>
        <rFont val="Arial"/>
        <charset val="1"/>
      </rPr>
      <t>(afterEach)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</si>
  <si>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컨텍스트 </t>
    </r>
    <r>
      <rPr>
        <sz val="10"/>
        <color rgb="FF000000"/>
        <rFont val="Arial"/>
        <charset val="1"/>
      </rPr>
      <t xml:space="preserve">A: </t>
    </r>
    <r>
      <rPr>
        <sz val="10"/>
        <color rgb="FF000000"/>
        <rFont val="나눔고딕"/>
        <family val="2"/>
      </rPr>
      <t xml:space="preserve">시뮬레이션 실행
</t>
    </r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 xml:space="preserve">컨텍스트 </t>
    </r>
    <r>
      <rPr>
        <sz val="10"/>
        <color rgb="FF000000"/>
        <rFont val="Arial"/>
        <charset val="1"/>
      </rPr>
      <t xml:space="preserve">B: </t>
    </r>
    <r>
      <rPr>
        <sz val="10"/>
        <color rgb="FF000000"/>
        <rFont val="나눔고딕"/>
        <family val="2"/>
      </rPr>
      <t xml:space="preserve">마스터에서 배 척수 변경 후 저장
</t>
    </r>
    <r>
      <rPr>
        <sz val="10"/>
        <color rgb="FF000000"/>
        <rFont val="Arial"/>
        <charset val="1"/>
      </rPr>
      <t xml:space="preserve">3. </t>
    </r>
    <r>
      <rPr>
        <sz val="10"/>
        <color rgb="FF000000"/>
        <rFont val="나눔고딕"/>
        <family val="2"/>
      </rPr>
      <t xml:space="preserve">컨텍스트 </t>
    </r>
    <r>
      <rPr>
        <sz val="10"/>
        <color rgb="FF000000"/>
        <rFont val="Arial"/>
        <charset val="1"/>
      </rPr>
      <t>A: '</t>
    </r>
    <r>
      <rPr>
        <sz val="10"/>
        <color rgb="FF000000"/>
        <rFont val="나눔고딕"/>
        <family val="2"/>
      </rPr>
      <t>주문 확정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클릭</t>
    </r>
  </si>
  <si>
    <r>
      <rPr>
        <sz val="10"/>
        <color rgb="FF000000"/>
        <rFont val="Arial"/>
        <charset val="1"/>
      </rPr>
      <t xml:space="preserve">#confirmError </t>
    </r>
    <r>
      <rPr>
        <sz val="10"/>
        <color rgb="FF000000"/>
        <rFont val="나눔고딕"/>
        <family val="2"/>
      </rPr>
      <t xml:space="preserve">에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시뮬레이션 이후 마스터 데이터가 바뀌었습니다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다시 시뮬레이션해 주세요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표시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주문이 생성되지 않는다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다시 시뮬레이션하면 확정된다</t>
    </r>
  </si>
  <si>
    <t>FR-10</t>
  </si>
  <si>
    <r>
      <rPr>
        <sz val="10"/>
        <color rgb="FF000000"/>
        <rFont val="Arial"/>
        <charset val="1"/>
      </rPr>
      <t xml:space="preserve">#confirmError, </t>
    </r>
    <r>
      <rPr>
        <sz val="10"/>
        <color rgb="FF000000"/>
        <rFont val="나눔고딕"/>
        <family val="2"/>
      </rPr>
      <t xml:space="preserve">두 번째 </t>
    </r>
    <r>
      <rPr>
        <sz val="10"/>
        <color rgb="FF000000"/>
        <rFont val="Arial"/>
        <charset val="1"/>
      </rPr>
      <t>browser context</t>
    </r>
  </si>
  <si>
    <r>
      <rPr>
        <sz val="10"/>
        <color rgb="FF000000"/>
        <rFont val="나눔고딕"/>
        <family val="2"/>
      </rPr>
      <t>마스터 버전은 올라가면 되돌릴 수 없음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값만 원복</t>
    </r>
    <r>
      <rPr>
        <sz val="10"/>
        <color rgb="FF000000"/>
        <rFont val="Arial"/>
        <charset val="1"/>
      </rPr>
      <t>)</t>
    </r>
  </si>
  <si>
    <t>CNF-07</t>
  </si>
  <si>
    <t>확정한 주문이 목록 맨 위에 나타남</t>
  </si>
  <si>
    <r>
      <rPr>
        <sz val="10"/>
        <color rgb="FF000000"/>
        <rFont val="나눔고딕"/>
        <family val="2"/>
      </rPr>
      <t xml:space="preserve">확정 전 목록의 전체 건수 </t>
    </r>
    <r>
      <rPr>
        <sz val="10"/>
        <color rgb="FF000000"/>
        <rFont val="Arial"/>
        <charset val="1"/>
      </rPr>
      <t xml:space="preserve">N </t>
    </r>
    <r>
      <rPr>
        <sz val="10"/>
        <color rgb="FF000000"/>
        <rFont val="나눔고딕"/>
        <family val="2"/>
      </rPr>
      <t>기록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</si>
  <si>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주문 확정
</t>
    </r>
    <r>
      <rPr>
        <sz val="10"/>
        <color rgb="FF000000"/>
        <rFont val="Arial"/>
        <charset val="1"/>
      </rPr>
      <t xml:space="preserve">2. /orders </t>
    </r>
    <r>
      <rPr>
        <sz val="10"/>
        <color rgb="FF000000"/>
        <rFont val="나눔고딕"/>
        <family val="2"/>
      </rPr>
      <t>이동</t>
    </r>
  </si>
  <si>
    <r>
      <rPr>
        <sz val="10"/>
        <color rgb="FF000000"/>
        <rFont val="나눔고딕"/>
        <family val="2"/>
      </rPr>
      <t>첫 행이 방금 만든 주문</t>
    </r>
    <r>
      <rPr>
        <sz val="10"/>
        <color rgb="FF000000"/>
        <rFont val="Arial"/>
        <charset val="1"/>
      </rPr>
      <t>(#id)</t>
    </r>
    <r>
      <rPr>
        <sz val="10"/>
        <color rgb="FF000000"/>
        <rFont val="나눔고딕"/>
        <family val="2"/>
      </rPr>
      <t xml:space="preserve">이고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전체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 xml:space="preserve">건수가 </t>
    </r>
    <r>
      <rPr>
        <sz val="10"/>
        <color rgb="FF000000"/>
        <rFont val="Arial"/>
        <charset val="1"/>
      </rPr>
      <t>N+1, '</t>
    </r>
    <r>
      <rPr>
        <sz val="10"/>
        <color rgb="FF000000"/>
        <rFont val="나눔고딕"/>
        <family val="2"/>
      </rPr>
      <t>확정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 xml:space="preserve">건수가 </t>
    </r>
    <r>
      <rPr>
        <sz val="10"/>
        <color rgb="FF000000"/>
        <rFont val="Arial"/>
        <charset val="1"/>
      </rPr>
      <t xml:space="preserve">1 </t>
    </r>
    <r>
      <rPr>
        <sz val="10"/>
        <color rgb="FF000000"/>
        <rFont val="나눔고딕"/>
        <family val="2"/>
      </rPr>
      <t>증가한다</t>
    </r>
  </si>
  <si>
    <t>FR-12</t>
  </si>
  <si>
    <t>.chip .count, tbody tr:first-child</t>
  </si>
  <si>
    <t>절대값이 아니라 전후 차이로 검증</t>
  </si>
  <si>
    <t>CNF-08</t>
  </si>
  <si>
    <r>
      <rPr>
        <sz val="10"/>
        <color rgb="FF000000"/>
        <rFont val="나눔고딕"/>
        <family val="2"/>
      </rPr>
      <t xml:space="preserve">확정 버튼 중복 클릭 시 주문 </t>
    </r>
    <r>
      <rPr>
        <sz val="10"/>
        <color rgb="FF000000"/>
        <rFont val="Arial"/>
        <charset val="1"/>
      </rPr>
      <t>1</t>
    </r>
    <r>
      <rPr>
        <sz val="10"/>
        <color rgb="FF000000"/>
        <rFont val="나눔고딕"/>
        <family val="2"/>
      </rPr>
      <t>건만 생성</t>
    </r>
  </si>
  <si>
    <r>
      <rPr>
        <sz val="10"/>
        <color rgb="FF000000"/>
        <rFont val="Arial"/>
        <charset val="1"/>
      </rPr>
      <t>1. '</t>
    </r>
    <r>
      <rPr>
        <sz val="10"/>
        <color rgb="FF000000"/>
        <rFont val="나눔고딕"/>
        <family val="2"/>
      </rPr>
      <t>주문 확정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더블 클릭</t>
    </r>
  </si>
  <si>
    <r>
      <rPr>
        <sz val="10"/>
        <color rgb="FF000000"/>
        <rFont val="나눔고딕"/>
        <family val="2"/>
      </rPr>
      <t xml:space="preserve">버튼이 </t>
    </r>
    <r>
      <rPr>
        <sz val="10"/>
        <color rgb="FF000000"/>
        <rFont val="Arial"/>
        <charset val="1"/>
      </rPr>
      <t xml:space="preserve">disabled </t>
    </r>
    <r>
      <rPr>
        <sz val="10"/>
        <color rgb="FF000000"/>
        <rFont val="나눔고딕"/>
        <family val="2"/>
      </rPr>
      <t xml:space="preserve">되어 주문이 </t>
    </r>
    <r>
      <rPr>
        <sz val="10"/>
        <color rgb="FF000000"/>
        <rFont val="Arial"/>
        <charset val="1"/>
      </rPr>
      <t>1</t>
    </r>
    <r>
      <rPr>
        <sz val="10"/>
        <color rgb="FF000000"/>
        <rFont val="나눔고딕"/>
        <family val="2"/>
      </rPr>
      <t>건만 생성된다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전체 건수 </t>
    </r>
    <r>
      <rPr>
        <sz val="10"/>
        <color rgb="FF000000"/>
        <rFont val="Arial"/>
        <charset val="1"/>
      </rPr>
      <t>+1)</t>
    </r>
  </si>
  <si>
    <t>#confirmBtn</t>
  </si>
  <si>
    <t>LST-01</t>
  </si>
  <si>
    <t>주문 목록</t>
  </si>
  <si>
    <t>목록 컬럼과 상태별 건수 칩</t>
  </si>
  <si>
    <r>
      <rPr>
        <sz val="10"/>
        <color rgb="FF000000"/>
        <rFont val="Arial"/>
        <charset val="1"/>
      </rPr>
      <t xml:space="preserve">1. /orders </t>
    </r>
    <r>
      <rPr>
        <sz val="10"/>
        <color rgb="FF000000"/>
        <rFont val="나눔고딕"/>
        <family val="2"/>
      </rPr>
      <t>이동</t>
    </r>
  </si>
  <si>
    <r>
      <rPr>
        <sz val="10"/>
        <color rgb="FF000000"/>
        <rFont val="나눔고딕"/>
        <family val="2"/>
      </rPr>
      <t>컬럼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주문번호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확정 일시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총 수량</t>
    </r>
    <r>
      <rPr>
        <sz val="10"/>
        <color rgb="FF000000"/>
        <rFont val="Arial"/>
        <charset val="1"/>
      </rPr>
      <t xml:space="preserve">(K), </t>
    </r>
    <r>
      <rPr>
        <sz val="10"/>
        <color rgb="FF000000"/>
        <rFont val="나눔고딕"/>
        <family val="2"/>
      </rPr>
      <t>경로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소요 일수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총 비용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억원</t>
    </r>
    <r>
      <rPr>
        <sz val="10"/>
        <color rgb="FF000000"/>
        <rFont val="Arial"/>
        <charset val="1"/>
      </rPr>
      <t xml:space="preserve">), </t>
    </r>
    <r>
      <rPr>
        <sz val="10"/>
        <color rgb="FF000000"/>
        <rFont val="나눔고딕"/>
        <family val="2"/>
      </rPr>
      <t>상태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작성자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과 칩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전체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확정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진행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완료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취소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이 표시된다</t>
    </r>
  </si>
  <si>
    <t>.filters .chip, table.grid th</t>
  </si>
  <si>
    <t>LST-02</t>
  </si>
  <si>
    <t>상태 칩 필터</t>
  </si>
  <si>
    <r>
      <rPr>
        <sz val="10"/>
        <color rgb="FF000000"/>
        <rFont val="나눔고딕"/>
        <family val="2"/>
      </rPr>
      <t xml:space="preserve">상태가 다른 주문이 </t>
    </r>
    <r>
      <rPr>
        <sz val="10"/>
        <color rgb="FF000000"/>
        <rFont val="Arial"/>
        <charset val="1"/>
      </rPr>
      <t>2</t>
    </r>
    <r>
      <rPr>
        <sz val="10"/>
        <color rgb="FF000000"/>
        <rFont val="나눔고딕"/>
        <family val="2"/>
      </rPr>
      <t>건 이상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테스트가 직접 생성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</si>
  <si>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Arial"/>
        <charset val="1"/>
      </rPr>
      <t>1. '</t>
    </r>
    <r>
      <rPr>
        <sz val="10"/>
        <color rgb="FF000000"/>
        <rFont val="나눔고딕"/>
        <family val="2"/>
      </rPr>
      <t>확정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칩 클릭</t>
    </r>
  </si>
  <si>
    <r>
      <rPr>
        <sz val="10"/>
        <color rgb="FF000000"/>
        <rFont val="Arial"/>
        <charset val="1"/>
      </rPr>
      <t xml:space="preserve">URL </t>
    </r>
    <r>
      <rPr>
        <sz val="10"/>
        <color rgb="FF000000"/>
        <rFont val="나눔고딕"/>
        <family val="2"/>
      </rPr>
      <t xml:space="preserve">이 </t>
    </r>
    <r>
      <rPr>
        <sz val="10"/>
        <color rgb="FF000000"/>
        <rFont val="Arial"/>
        <charset val="1"/>
      </rPr>
      <t xml:space="preserve">?status=CONFIRMED, </t>
    </r>
    <r>
      <rPr>
        <sz val="10"/>
        <color rgb="FF000000"/>
        <rFont val="나눔고딕"/>
        <family val="2"/>
      </rPr>
      <t xml:space="preserve">목록에 확정 주문만 보이고 해당 칩이 </t>
    </r>
    <r>
      <rPr>
        <sz val="10"/>
        <color rgb="FF000000"/>
        <rFont val="Arial"/>
        <charset val="1"/>
      </rPr>
      <t>active</t>
    </r>
  </si>
  <si>
    <t>.chip.active</t>
  </si>
  <si>
    <t>LST-03</t>
  </si>
  <si>
    <t>행 클릭 시 상세 이동</t>
  </si>
  <si>
    <r>
      <rPr>
        <sz val="10"/>
        <color rgb="FF000000"/>
        <rFont val="나눔고딕"/>
        <family val="2"/>
      </rPr>
      <t xml:space="preserve">주문 </t>
    </r>
    <r>
      <rPr>
        <sz val="10"/>
        <color rgb="FF000000"/>
        <rFont val="Arial"/>
        <charset val="1"/>
      </rPr>
      <t>1</t>
    </r>
    <r>
      <rPr>
        <sz val="10"/>
        <color rgb="FF000000"/>
        <rFont val="나눔고딕"/>
        <family val="2"/>
      </rPr>
      <t>건 이상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</si>
  <si>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>첫 행 클릭</t>
    </r>
  </si>
  <si>
    <r>
      <rPr>
        <sz val="10"/>
        <color rgb="FF000000"/>
        <rFont val="Arial"/>
        <charset val="1"/>
      </rPr>
      <t xml:space="preserve">/orders/{id} </t>
    </r>
    <r>
      <rPr>
        <sz val="10"/>
        <color rgb="FF000000"/>
        <rFont val="나눔고딕"/>
        <family val="2"/>
      </rPr>
      <t>로 이동한다</t>
    </r>
  </si>
  <si>
    <t>tr.clickable</t>
  </si>
  <si>
    <t>LST-04</t>
  </si>
  <si>
    <t>주문이 없을 때 안내 문구</t>
  </si>
  <si>
    <r>
      <rPr>
        <sz val="10"/>
        <color rgb="FF000000"/>
        <rFont val="나눔고딕"/>
        <family val="2"/>
      </rPr>
      <t xml:space="preserve">주문 </t>
    </r>
    <r>
      <rPr>
        <sz val="10"/>
        <color rgb="FF000000"/>
        <rFont val="Arial"/>
        <charset val="1"/>
      </rPr>
      <t>0</t>
    </r>
    <r>
      <rPr>
        <sz val="10"/>
        <color rgb="FF000000"/>
        <rFont val="나눔고딕"/>
        <family val="2"/>
      </rPr>
      <t>건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빈 </t>
    </r>
    <r>
      <rPr>
        <sz val="10"/>
        <color rgb="FF000000"/>
        <rFont val="Arial"/>
        <charset val="1"/>
      </rPr>
      <t>DB)</t>
    </r>
  </si>
  <si>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주문이 없습니다</t>
    </r>
    <r>
      <rPr>
        <sz val="10"/>
        <color rgb="FF000000"/>
        <rFont val="Arial"/>
        <charset val="1"/>
      </rPr>
      <t xml:space="preserve">.' </t>
    </r>
    <r>
      <rPr>
        <sz val="10"/>
        <color rgb="FF000000"/>
        <rFont val="나눔고딕"/>
        <family val="2"/>
      </rPr>
      <t>행이 표시된다</t>
    </r>
  </si>
  <si>
    <t>.empty</t>
  </si>
  <si>
    <r>
      <rPr>
        <sz val="10"/>
        <color rgb="FF000000"/>
        <rFont val="나눔고딕"/>
        <family val="2"/>
      </rPr>
      <t xml:space="preserve">공용 서버에서는 재현 어려움 → 격리 </t>
    </r>
    <r>
      <rPr>
        <sz val="10"/>
        <color rgb="FF000000"/>
        <rFont val="Arial"/>
        <charset val="1"/>
      </rPr>
      <t xml:space="preserve">DB </t>
    </r>
    <r>
      <rPr>
        <sz val="10"/>
        <color rgb="FF000000"/>
        <rFont val="나눔고딕"/>
        <family val="2"/>
      </rPr>
      <t>필요</t>
    </r>
  </si>
  <si>
    <t>LST-05</t>
  </si>
  <si>
    <t>상단 내비게이션 이동</t>
  </si>
  <si>
    <r>
      <rPr>
        <sz val="10"/>
        <color rgb="FF000000"/>
        <rFont val="Arial"/>
        <charset val="1"/>
      </rPr>
      <t>1. '</t>
    </r>
    <r>
      <rPr>
        <sz val="10"/>
        <color rgb="FF000000"/>
        <rFont val="나눔고딕"/>
        <family val="2"/>
      </rPr>
      <t>주문 추가</t>
    </r>
    <r>
      <rPr>
        <sz val="10"/>
        <color rgb="FF000000"/>
        <rFont val="Arial"/>
        <charset val="1"/>
      </rPr>
      <t>', '</t>
    </r>
    <r>
      <rPr>
        <sz val="10"/>
        <color rgb="FF000000"/>
        <rFont val="나눔고딕"/>
        <family val="2"/>
      </rPr>
      <t>마스터 데이터</t>
    </r>
    <r>
      <rPr>
        <sz val="10"/>
        <color rgb="FF000000"/>
        <rFont val="Arial"/>
        <charset val="1"/>
      </rPr>
      <t>', '</t>
    </r>
    <r>
      <rPr>
        <sz val="10"/>
        <color rgb="FF000000"/>
        <rFont val="나눔고딕"/>
        <family val="2"/>
      </rPr>
      <t>주문 목록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순서로 클릭</t>
    </r>
  </si>
  <si>
    <r>
      <rPr>
        <sz val="10"/>
        <color rgb="FF000000"/>
        <rFont val="나눔고딕"/>
        <family val="2"/>
      </rPr>
      <t xml:space="preserve">각 화면으로 이동하고 현재 메뉴가 </t>
    </r>
    <r>
      <rPr>
        <sz val="10"/>
        <color rgb="FF000000"/>
        <rFont val="Arial"/>
        <charset val="1"/>
      </rPr>
      <t xml:space="preserve">active </t>
    </r>
    <r>
      <rPr>
        <sz val="10"/>
        <color rgb="FF000000"/>
        <rFont val="나눔고딕"/>
        <family val="2"/>
      </rPr>
      <t>로 표시된다</t>
    </r>
  </si>
  <si>
    <t>header nav a.active</t>
  </si>
  <si>
    <t>LST-06</t>
  </si>
  <si>
    <r>
      <rPr>
        <sz val="10"/>
        <color rgb="FF000000"/>
        <rFont val="나눔고딕"/>
        <family val="2"/>
      </rPr>
      <t>주문 목록은 최신순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번호 내림차순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</si>
  <si>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주문을 연속으로 </t>
    </r>
    <r>
      <rPr>
        <sz val="10"/>
        <color rgb="FF000000"/>
        <rFont val="Arial"/>
        <charset val="1"/>
      </rPr>
      <t>2</t>
    </r>
    <r>
      <rPr>
        <sz val="10"/>
        <color rgb="FF000000"/>
        <rFont val="나눔고딕"/>
        <family val="2"/>
      </rPr>
      <t xml:space="preserve">건 확정 </t>
    </r>
    <r>
      <rPr>
        <sz val="10"/>
        <color rgb="FF000000"/>
        <rFont val="Arial"/>
        <charset val="1"/>
      </rPr>
      <t xml:space="preserve">/ 2. /orders </t>
    </r>
    <r>
      <rPr>
        <sz val="10"/>
        <color rgb="FF000000"/>
        <rFont val="나눔고딕"/>
        <family val="2"/>
      </rPr>
      <t>이동</t>
    </r>
  </si>
  <si>
    <t>첫 행이 나중에 만든 주문이고 위에서 아래로 주문번호가 작아진다</t>
  </si>
  <si>
    <r>
      <rPr>
        <sz val="10"/>
        <color rgb="FF000000"/>
        <rFont val="Arial"/>
        <charset val="1"/>
      </rPr>
      <t xml:space="preserve">tbody tr </t>
    </r>
    <r>
      <rPr>
        <sz val="10"/>
        <color rgb="FF000000"/>
        <rFont val="나눔고딕"/>
        <family val="2"/>
      </rPr>
      <t>첫 컬럼</t>
    </r>
  </si>
  <si>
    <r>
      <rPr>
        <sz val="10"/>
        <color rgb="FF000000"/>
        <rFont val="Arial"/>
        <charset val="1"/>
      </rPr>
      <t xml:space="preserve">CNF-07 </t>
    </r>
    <r>
      <rPr>
        <sz val="10"/>
        <color rgb="FF000000"/>
        <rFont val="나눔고딕"/>
        <family val="2"/>
      </rPr>
      <t>과 함께 구현 가능</t>
    </r>
  </si>
  <si>
    <t>DTL-01</t>
  </si>
  <si>
    <r>
      <rPr>
        <sz val="10"/>
        <color rgb="FF000000"/>
        <rFont val="나눔고딕"/>
        <family val="2"/>
      </rPr>
      <t>주문 상세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상태</t>
    </r>
  </si>
  <si>
    <t>상세 화면 정보와 저장된 계획 표시</t>
  </si>
  <si>
    <r>
      <rPr>
        <sz val="10"/>
        <color rgb="FF000000"/>
        <rFont val="나눔고딕"/>
        <family val="2"/>
      </rPr>
      <t xml:space="preserve">확정된 주문 </t>
    </r>
    <r>
      <rPr>
        <sz val="10"/>
        <color rgb="FF000000"/>
        <rFont val="Arial"/>
        <charset val="1"/>
      </rPr>
      <t>1</t>
    </r>
    <r>
      <rPr>
        <sz val="10"/>
        <color rgb="FF000000"/>
        <rFont val="나눔고딕"/>
        <family val="2"/>
      </rPr>
      <t>건</t>
    </r>
  </si>
  <si>
    <r>
      <rPr>
        <sz val="10"/>
        <color rgb="FF000000"/>
        <rFont val="Arial"/>
        <charset val="1"/>
      </rPr>
      <t xml:space="preserve">1. /orders/{id} </t>
    </r>
    <r>
      <rPr>
        <sz val="10"/>
        <color rgb="FF000000"/>
        <rFont val="나눔고딕"/>
        <family val="2"/>
      </rPr>
      <t>이동</t>
    </r>
  </si>
  <si>
    <r>
      <rPr>
        <sz val="10"/>
        <color rgb="FF000000"/>
        <rFont val="나눔고딕"/>
        <family val="2"/>
      </rPr>
      <t>확정 일시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작성자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경로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메모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상태 배지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계획 요약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상세 표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지도 애니메이션이 표시된다</t>
    </r>
  </si>
  <si>
    <t>FR-11, FR-12</t>
  </si>
  <si>
    <t>dl.meta, #summary, #details, #anim</t>
  </si>
  <si>
    <t>DTL-02</t>
  </si>
  <si>
    <t>확정 → 진행 변경</t>
  </si>
  <si>
    <r>
      <rPr>
        <sz val="10"/>
        <color rgb="FF000000"/>
        <rFont val="나눔고딕"/>
        <family val="2"/>
      </rPr>
      <t xml:space="preserve">상태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확정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주문</t>
    </r>
  </si>
  <si>
    <r>
      <rPr>
        <sz val="10"/>
        <color rgb="FF000000"/>
        <rFont val="Arial"/>
        <charset val="1"/>
      </rPr>
      <t>1. '</t>
    </r>
    <r>
      <rPr>
        <sz val="10"/>
        <color rgb="FF000000"/>
        <rFont val="나눔고딕"/>
        <family val="2"/>
      </rPr>
      <t>진행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으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로 변경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 xml:space="preserve">클릭
</t>
    </r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>확인 대화상자 수락</t>
    </r>
  </si>
  <si>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 xml:space="preserve">상태를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진행</t>
    </r>
    <r>
      <rPr>
        <sz val="10"/>
        <color rgb="FF000000"/>
        <rFont val="Arial"/>
        <charset val="1"/>
      </rPr>
      <t>'(</t>
    </r>
    <r>
      <rPr>
        <sz val="10"/>
        <color rgb="FF000000"/>
        <rFont val="나눔고딕"/>
        <family val="2"/>
      </rPr>
      <t>으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로 바꿨습니다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메시지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 xml:space="preserve">배지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진행</t>
    </r>
    <r>
      <rPr>
        <sz val="10"/>
        <color rgb="FF000000"/>
        <rFont val="Arial"/>
        <charset val="1"/>
      </rPr>
      <t xml:space="preserve">', </t>
    </r>
    <r>
      <rPr>
        <sz val="10"/>
        <color rgb="FF000000"/>
        <rFont val="나눔고딕"/>
        <family val="2"/>
      </rPr>
      <t xml:space="preserve">이력 </t>
    </r>
    <r>
      <rPr>
        <sz val="10"/>
        <color rgb="FF000000"/>
        <rFont val="Arial"/>
        <charset val="1"/>
      </rPr>
      <t>2</t>
    </r>
    <r>
      <rPr>
        <sz val="10"/>
        <color rgb="FF000000"/>
        <rFont val="나눔고딕"/>
        <family val="2"/>
      </rPr>
      <t>건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확정 → 진행</t>
    </r>
    <r>
      <rPr>
        <sz val="10"/>
        <color rgb="FF000000"/>
        <rFont val="Arial"/>
        <charset val="1"/>
      </rPr>
      <t xml:space="preserve">). </t>
    </r>
    <r>
      <rPr>
        <sz val="10"/>
        <color rgb="FF000000"/>
        <rFont val="나눔고딕"/>
        <family val="2"/>
      </rPr>
      <t xml:space="preserve">버튼은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완료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으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로 변경</t>
    </r>
    <r>
      <rPr>
        <sz val="10"/>
        <color rgb="FF000000"/>
        <rFont val="Arial"/>
        <charset val="1"/>
      </rPr>
      <t>', '</t>
    </r>
    <r>
      <rPr>
        <sz val="10"/>
        <color rgb="FF000000"/>
        <rFont val="나눔고딕"/>
        <family val="2"/>
      </rPr>
      <t>취소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으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로 변경</t>
    </r>
    <r>
      <rPr>
        <sz val="10"/>
        <color rgb="FF000000"/>
        <rFont val="Arial"/>
        <charset val="1"/>
      </rPr>
      <t>'</t>
    </r>
  </si>
  <si>
    <t>FR-13, FR-14</t>
  </si>
  <si>
    <t>.status-form button, page.on('dialog')</t>
  </si>
  <si>
    <t>DTL-03</t>
  </si>
  <si>
    <t>진행 → 완료 후 최종 상태</t>
  </si>
  <si>
    <r>
      <rPr>
        <sz val="10"/>
        <color rgb="FF000000"/>
        <rFont val="나눔고딕"/>
        <family val="2"/>
      </rPr>
      <t xml:space="preserve">상태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진행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주문</t>
    </r>
  </si>
  <si>
    <r>
      <rPr>
        <sz val="10"/>
        <color rgb="FF000000"/>
        <rFont val="Arial"/>
        <charset val="1"/>
      </rPr>
      <t>1. '</t>
    </r>
    <r>
      <rPr>
        <sz val="10"/>
        <color rgb="FF000000"/>
        <rFont val="나눔고딕"/>
        <family val="2"/>
      </rPr>
      <t>완료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으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로 변경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클릭 후 수락</t>
    </r>
  </si>
  <si>
    <r>
      <rPr>
        <sz val="10"/>
        <color rgb="FF000000"/>
        <rFont val="나눔고딕"/>
        <family val="2"/>
      </rPr>
      <t xml:space="preserve">배지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완료</t>
    </r>
    <r>
      <rPr>
        <sz val="10"/>
        <color rgb="FF000000"/>
        <rFont val="Arial"/>
        <charset val="1"/>
      </rPr>
      <t>', '</t>
    </r>
    <r>
      <rPr>
        <sz val="10"/>
        <color rgb="FF000000"/>
        <rFont val="나눔고딕"/>
        <family val="2"/>
      </rPr>
      <t>최종 상태라 더 바꿀 수 없습니다</t>
    </r>
    <r>
      <rPr>
        <sz val="10"/>
        <color rgb="FF000000"/>
        <rFont val="Arial"/>
        <charset val="1"/>
      </rPr>
      <t xml:space="preserve">.' </t>
    </r>
    <r>
      <rPr>
        <sz val="10"/>
        <color rgb="FF000000"/>
        <rFont val="나눔고딕"/>
        <family val="2"/>
      </rPr>
      <t>표시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상태 변경 버튼 없음</t>
    </r>
  </si>
  <si>
    <t>FR-13</t>
  </si>
  <si>
    <t>.badge-COMPLETED, .muted</t>
  </si>
  <si>
    <t>DTL-04</t>
  </si>
  <si>
    <t>확인 대화상자 취소 시 상태 유지</t>
  </si>
  <si>
    <r>
      <rPr>
        <sz val="10"/>
        <color rgb="FF000000"/>
        <rFont val="Arial"/>
        <charset val="1"/>
      </rPr>
      <t>1. '</t>
    </r>
    <r>
      <rPr>
        <sz val="10"/>
        <color rgb="FF000000"/>
        <rFont val="나눔고딕"/>
        <family val="2"/>
      </rPr>
      <t>진행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으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로 변경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 xml:space="preserve">클릭
</t>
    </r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 xml:space="preserve">대화상자 </t>
    </r>
    <r>
      <rPr>
        <sz val="10"/>
        <color rgb="FF000000"/>
        <rFont val="Arial"/>
        <charset val="1"/>
      </rPr>
      <t>dismiss</t>
    </r>
  </si>
  <si>
    <r>
      <rPr>
        <sz val="10"/>
        <color rgb="FF000000"/>
        <rFont val="나눔고딕"/>
        <family val="2"/>
      </rPr>
      <t xml:space="preserve">상태가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확정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그대로이고 이력도 늘지 않는다</t>
    </r>
  </si>
  <si>
    <t>dialog.dismiss()</t>
  </si>
  <si>
    <t>DTL-05</t>
  </si>
  <si>
    <t>취소 처리 직후 화면 동작</t>
  </si>
  <si>
    <r>
      <rPr>
        <sz val="10"/>
        <color rgb="FF000000"/>
        <rFont val="Arial"/>
        <charset val="1"/>
      </rPr>
      <t>1. '</t>
    </r>
    <r>
      <rPr>
        <sz val="10"/>
        <color rgb="FF000000"/>
        <rFont val="나눔고딕"/>
        <family val="2"/>
      </rPr>
      <t>취소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으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로 변경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클릭 후 수락</t>
    </r>
  </si>
  <si>
    <r>
      <rPr>
        <sz val="10"/>
        <color rgb="FF000000"/>
        <rFont val="나눔고딕"/>
        <family val="2"/>
      </rPr>
      <t>취소 후 사용자에게 오류 화면이 아닌 정상 안내가 보인다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기대</t>
    </r>
    <r>
      <rPr>
        <sz val="10"/>
        <color rgb="FF000000"/>
        <rFont val="Arial"/>
        <charset val="1"/>
      </rPr>
      <t xml:space="preserve">). </t>
    </r>
    <r>
      <rPr>
        <sz val="10"/>
        <color rgb="FF000000"/>
        <rFont val="나눔고딕"/>
        <family val="2"/>
      </rPr>
      <t xml:space="preserve">코드상 취소하면 주문 행이 삭제된 뒤 </t>
    </r>
    <r>
      <rPr>
        <sz val="10"/>
        <color rgb="FF000000"/>
        <rFont val="Arial"/>
        <charset val="1"/>
      </rPr>
      <t xml:space="preserve">/orders/{id} </t>
    </r>
    <r>
      <rPr>
        <sz val="10"/>
        <color rgb="FF000000"/>
        <rFont val="나눔고딕"/>
        <family val="2"/>
      </rPr>
      <t xml:space="preserve">로 리다이렉트되어 </t>
    </r>
    <r>
      <rPr>
        <sz val="10"/>
        <color rgb="FF000000"/>
        <rFont val="Arial"/>
        <charset val="1"/>
      </rPr>
      <t xml:space="preserve">500 </t>
    </r>
    <r>
      <rPr>
        <sz val="10"/>
        <color rgb="FF000000"/>
        <rFont val="나눔고딕"/>
        <family val="2"/>
      </rPr>
      <t>이 날 수 있다</t>
    </r>
  </si>
  <si>
    <r>
      <rPr>
        <sz val="10"/>
        <color rgb="FF000000"/>
        <rFont val="Arial"/>
        <charset val="1"/>
      </rPr>
      <t xml:space="preserve">FR-16, </t>
    </r>
    <r>
      <rPr>
        <sz val="10"/>
        <color rgb="FF000000"/>
        <rFont val="나눔고딕"/>
        <family val="2"/>
      </rPr>
      <t>결함 후보</t>
    </r>
  </si>
  <si>
    <t>response.status()</t>
  </si>
  <si>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확인 필요 사항</t>
    </r>
    <r>
      <rPr>
        <sz val="10"/>
        <color rgb="FF000000"/>
        <rFont val="Arial"/>
        <charset val="1"/>
      </rPr>
      <t xml:space="preserve">' #2 </t>
    </r>
    <r>
      <rPr>
        <sz val="10"/>
        <color rgb="FF000000"/>
        <rFont val="나눔고딕"/>
        <family val="2"/>
      </rPr>
      <t>참고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실행해서 실제 동작 확인 필요</t>
    </r>
  </si>
  <si>
    <t>DTL-06</t>
  </si>
  <si>
    <t>취소된 주문은 목록에서 사라짐</t>
  </si>
  <si>
    <r>
      <rPr>
        <sz val="10"/>
        <color rgb="FF000000"/>
        <rFont val="Arial"/>
        <charset val="1"/>
      </rPr>
      <t xml:space="preserve">DTL-05 </t>
    </r>
    <r>
      <rPr>
        <sz val="10"/>
        <color rgb="FF000000"/>
        <rFont val="나눔고딕"/>
        <family val="2"/>
      </rPr>
      <t>수행 후</t>
    </r>
  </si>
  <si>
    <r>
      <rPr>
        <sz val="10"/>
        <color rgb="FF000000"/>
        <rFont val="나눔고딕"/>
        <family val="2"/>
      </rPr>
      <t xml:space="preserve">취소한 주문이 목록에 없고 전체 건수가 </t>
    </r>
    <r>
      <rPr>
        <sz val="10"/>
        <color rgb="FF000000"/>
        <rFont val="Arial"/>
        <charset val="1"/>
      </rPr>
      <t xml:space="preserve">1 </t>
    </r>
    <r>
      <rPr>
        <sz val="10"/>
        <color rgb="FF000000"/>
        <rFont val="나눔고딕"/>
        <family val="2"/>
      </rPr>
      <t>감소한다</t>
    </r>
    <r>
      <rPr>
        <sz val="10"/>
        <color rgb="FF000000"/>
        <rFont val="Arial"/>
        <charset val="1"/>
      </rPr>
      <t>. '</t>
    </r>
    <r>
      <rPr>
        <sz val="10"/>
        <color rgb="FF000000"/>
        <rFont val="나눔고딕"/>
        <family val="2"/>
      </rPr>
      <t>취소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 xml:space="preserve">칩 건수는 계속 </t>
    </r>
    <r>
      <rPr>
        <sz val="10"/>
        <color rgb="FF000000"/>
        <rFont val="Arial"/>
        <charset val="1"/>
      </rPr>
      <t xml:space="preserve">0 </t>
    </r>
    <r>
      <rPr>
        <sz val="10"/>
        <color rgb="FF000000"/>
        <rFont val="나눔고딕"/>
        <family val="2"/>
      </rPr>
      <t>이다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주문 행이 삭제되므로</t>
    </r>
    <r>
      <rPr>
        <sz val="10"/>
        <color rgb="FF000000"/>
        <rFont val="Arial"/>
        <charset val="1"/>
      </rPr>
      <t>)</t>
    </r>
  </si>
  <si>
    <t>FR-16</t>
  </si>
  <si>
    <t>.chip .count</t>
  </si>
  <si>
    <r>
      <rPr>
        <sz val="10"/>
        <color rgb="FF000000"/>
        <rFont val="나눔고딕"/>
        <family val="2"/>
      </rPr>
      <t xml:space="preserve">취소 건수 </t>
    </r>
    <r>
      <rPr>
        <sz val="10"/>
        <color rgb="FF000000"/>
        <rFont val="Arial"/>
        <charset val="1"/>
      </rPr>
      <t xml:space="preserve">0 </t>
    </r>
    <r>
      <rPr>
        <sz val="10"/>
        <color rgb="FF000000"/>
        <rFont val="나눔고딕"/>
        <family val="2"/>
      </rPr>
      <t>이 의도인지 확인 필요</t>
    </r>
    <r>
      <rPr>
        <sz val="10"/>
        <color rgb="FF000000"/>
        <rFont val="Arial"/>
        <charset val="1"/>
      </rPr>
      <t>(#3)</t>
    </r>
  </si>
  <si>
    <t>DTL-07</t>
  </si>
  <si>
    <r>
      <rPr>
        <sz val="10"/>
        <color rgb="FF000000"/>
        <rFont val="나눔고딕"/>
        <family val="2"/>
      </rPr>
      <t>동시 변경 충돌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낙관적 잠금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</si>
  <si>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컨텍스트 </t>
    </r>
    <r>
      <rPr>
        <sz val="10"/>
        <color rgb="FF000000"/>
        <rFont val="Arial"/>
        <charset val="1"/>
      </rPr>
      <t xml:space="preserve">A, B </t>
    </r>
    <r>
      <rPr>
        <sz val="10"/>
        <color rgb="FF000000"/>
        <rFont val="나눔고딕"/>
        <family val="2"/>
      </rPr>
      <t xml:space="preserve">가 같은 주문 상세를 연다
</t>
    </r>
    <r>
      <rPr>
        <sz val="10"/>
        <color rgb="FF000000"/>
        <rFont val="Arial"/>
        <charset val="1"/>
      </rPr>
      <t xml:space="preserve">2. A </t>
    </r>
    <r>
      <rPr>
        <sz val="10"/>
        <color rgb="FF000000"/>
        <rFont val="나눔고딕"/>
        <family val="2"/>
      </rPr>
      <t xml:space="preserve">에서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진행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 xml:space="preserve">으로 변경
</t>
    </r>
    <r>
      <rPr>
        <sz val="10"/>
        <color rgb="FF000000"/>
        <rFont val="Arial"/>
        <charset val="1"/>
      </rPr>
      <t>3. B(</t>
    </r>
    <r>
      <rPr>
        <sz val="10"/>
        <color rgb="FF000000"/>
        <rFont val="나눔고딕"/>
        <family val="2"/>
      </rPr>
      <t>옛 화면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 xml:space="preserve">에서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취소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으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로 변경</t>
    </r>
    <r>
      <rPr>
        <sz val="10"/>
        <color rgb="FF000000"/>
        <rFont val="Arial"/>
        <charset val="1"/>
      </rPr>
      <t>'</t>
    </r>
  </si>
  <si>
    <r>
      <rPr>
        <sz val="10"/>
        <color rgb="FF000000"/>
        <rFont val="Arial"/>
        <charset val="1"/>
      </rPr>
      <t xml:space="preserve">B </t>
    </r>
    <r>
      <rPr>
        <sz val="10"/>
        <color rgb="FF000000"/>
        <rFont val="나눔고딕"/>
        <family val="2"/>
      </rPr>
      <t xml:space="preserve">에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다른 사용자가 먼저 이 주문을 변경했습니다</t>
    </r>
    <r>
      <rPr>
        <sz val="10"/>
        <color rgb="FF000000"/>
        <rFont val="Arial"/>
        <charset val="1"/>
      </rPr>
      <t xml:space="preserve">...' </t>
    </r>
    <r>
      <rPr>
        <sz val="10"/>
        <color rgb="FF000000"/>
        <rFont val="나눔고딕"/>
        <family val="2"/>
      </rPr>
      <t xml:space="preserve">오류가 표시되고 주문은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진행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상태로 유지된다</t>
    </r>
  </si>
  <si>
    <t>FR-15</t>
  </si>
  <si>
    <t>.alert.error, hidden input[name=version]</t>
  </si>
  <si>
    <t>DTL-08</t>
  </si>
  <si>
    <t>존재하지 않는 주문 조회</t>
  </si>
  <si>
    <r>
      <rPr>
        <sz val="10"/>
        <color rgb="FF000000"/>
        <rFont val="Arial"/>
        <charset val="1"/>
      </rPr>
      <t xml:space="preserve">1. /orders/999999 </t>
    </r>
    <r>
      <rPr>
        <sz val="10"/>
        <color rgb="FF000000"/>
        <rFont val="나눔고딕"/>
        <family val="2"/>
      </rPr>
      <t>이동</t>
    </r>
  </si>
  <si>
    <r>
      <rPr>
        <sz val="10"/>
        <color rgb="FF000000"/>
        <rFont val="Arial"/>
        <charset val="1"/>
      </rPr>
      <t xml:space="preserve">404 </t>
    </r>
    <r>
      <rPr>
        <sz val="10"/>
        <color rgb="FF000000"/>
        <rFont val="나눔고딕"/>
        <family val="2"/>
      </rPr>
      <t xml:space="preserve">또는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주문을 찾을 수 없습니다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안내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기대</t>
    </r>
    <r>
      <rPr>
        <sz val="10"/>
        <color rgb="FF000000"/>
        <rFont val="Arial"/>
        <charset val="1"/>
      </rPr>
      <t xml:space="preserve">). </t>
    </r>
    <r>
      <rPr>
        <sz val="10"/>
        <color rgb="FF000000"/>
        <rFont val="나눔고딕"/>
        <family val="2"/>
      </rPr>
      <t xml:space="preserve">현재는 </t>
    </r>
    <r>
      <rPr>
        <sz val="10"/>
        <color rgb="FF000000"/>
        <rFont val="Arial"/>
        <charset val="1"/>
      </rPr>
      <t xml:space="preserve">HTTP 500 </t>
    </r>
    <r>
      <rPr>
        <sz val="10"/>
        <color rgb="FF000000"/>
        <rFont val="나눔고딕"/>
        <family val="2"/>
      </rPr>
      <t>응답</t>
    </r>
  </si>
  <si>
    <t>결함 후보</t>
  </si>
  <si>
    <t>page.goto → response.status()</t>
  </si>
  <si>
    <r>
      <rPr>
        <sz val="10"/>
        <color rgb="FF000000"/>
        <rFont val="나눔고딕"/>
        <family val="2"/>
      </rPr>
      <t>실제 확인함</t>
    </r>
    <r>
      <rPr>
        <sz val="10"/>
        <color rgb="FF000000"/>
        <rFont val="Arial"/>
        <charset val="1"/>
      </rPr>
      <t>: GET /orders/999999 → 500 (</t>
    </r>
    <r>
      <rPr>
        <sz val="10"/>
        <color rgb="FF000000"/>
        <rFont val="나눔고딕"/>
        <family val="2"/>
      </rPr>
      <t xml:space="preserve">확인 필요 사항 </t>
    </r>
    <r>
      <rPr>
        <sz val="10"/>
        <color rgb="FF000000"/>
        <rFont val="Arial"/>
        <charset val="1"/>
      </rPr>
      <t>#1)</t>
    </r>
  </si>
  <si>
    <t>DTL-09</t>
  </si>
  <si>
    <t>상태 이력 표</t>
  </si>
  <si>
    <t>확정 → 진행 → 완료 처리한 주문</t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</si>
  <si>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상세의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상태 이력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확인</t>
    </r>
  </si>
  <si>
    <r>
      <rPr>
        <sz val="10"/>
        <color rgb="FF000000"/>
        <rFont val="Arial"/>
        <charset val="1"/>
      </rPr>
      <t>3</t>
    </r>
    <r>
      <rPr>
        <sz val="10"/>
        <color rgb="FF000000"/>
        <rFont val="나눔고딕"/>
        <family val="2"/>
      </rPr>
      <t>행</t>
    </r>
    <r>
      <rPr>
        <sz val="10"/>
        <color rgb="FF000000"/>
        <rFont val="Arial"/>
        <charset val="1"/>
      </rPr>
      <t xml:space="preserve">(- → </t>
    </r>
    <r>
      <rPr>
        <sz val="10"/>
        <color rgb="FF000000"/>
        <rFont val="나눔고딕"/>
        <family val="2"/>
      </rPr>
      <t>확정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확정 → 진행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진행 → 완료</t>
    </r>
    <r>
      <rPr>
        <sz val="10"/>
        <color rgb="FF000000"/>
        <rFont val="Arial"/>
        <charset val="1"/>
      </rPr>
      <t xml:space="preserve">), </t>
    </r>
    <r>
      <rPr>
        <sz val="10"/>
        <color rgb="FF000000"/>
        <rFont val="나눔고딕"/>
        <family val="2"/>
      </rPr>
      <t xml:space="preserve">변경한 사람 </t>
    </r>
    <r>
      <rPr>
        <sz val="10"/>
        <color rgb="FF000000"/>
        <rFont val="Arial"/>
        <charset val="1"/>
      </rPr>
      <t xml:space="preserve">admin, </t>
    </r>
    <r>
      <rPr>
        <sz val="10"/>
        <color rgb="FF000000"/>
        <rFont val="나눔고딕"/>
        <family val="2"/>
      </rPr>
      <t>시각 오름차순</t>
    </r>
  </si>
  <si>
    <t>FR-14</t>
  </si>
  <si>
    <r>
      <rPr>
        <sz val="10"/>
        <color rgb="FF000000"/>
        <rFont val="Arial"/>
        <charset val="1"/>
      </rPr>
      <t>h2:text('</t>
    </r>
    <r>
      <rPr>
        <sz val="10"/>
        <color rgb="FF000000"/>
        <rFont val="나눔고딕"/>
        <family val="2"/>
      </rPr>
      <t>상태 이력</t>
    </r>
    <r>
      <rPr>
        <sz val="10"/>
        <color rgb="FF000000"/>
        <rFont val="Arial"/>
        <charset val="1"/>
      </rPr>
      <t>') + table</t>
    </r>
  </si>
  <si>
    <t>DTL-10</t>
  </si>
  <si>
    <r>
      <rPr>
        <sz val="10"/>
        <color rgb="FF000000"/>
        <rFont val="나눔고딕"/>
        <family val="2"/>
      </rPr>
      <t xml:space="preserve">확정 상태에서는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완료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로 바로 바꿀 수 없음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</si>
  <si>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>상세 화면의 상태 변경 버튼 확인</t>
    </r>
  </si>
  <si>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진행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으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로 변경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 xml:space="preserve">과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취소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으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로 변경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 xml:space="preserve">만 있고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완료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으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로 변경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은 없다</t>
    </r>
  </si>
  <si>
    <t>.status-form button</t>
  </si>
  <si>
    <t>MST-01</t>
  </si>
  <si>
    <t>마스터 데이터</t>
  </si>
  <si>
    <t>마스터 화면 기본값 표시</t>
  </si>
  <si>
    <t>초기 마스터 값</t>
  </si>
  <si>
    <r>
      <rPr>
        <sz val="10"/>
        <color rgb="FF000000"/>
        <rFont val="Arial"/>
        <charset val="1"/>
      </rPr>
      <t xml:space="preserve">1. /master </t>
    </r>
    <r>
      <rPr>
        <sz val="10"/>
        <color rgb="FF000000"/>
        <rFont val="나눔고딕"/>
        <family val="2"/>
      </rPr>
      <t>이동</t>
    </r>
  </si>
  <si>
    <r>
      <rPr>
        <sz val="10"/>
        <color rgb="FF000000"/>
        <rFont val="나눔고딕"/>
        <family val="2"/>
      </rPr>
      <t xml:space="preserve">공장 </t>
    </r>
    <r>
      <rPr>
        <sz val="10"/>
        <color rgb="FF000000"/>
        <rFont val="Arial"/>
        <charset val="1"/>
      </rPr>
      <t>4</t>
    </r>
    <r>
      <rPr>
        <sz val="10"/>
        <color rgb="FF000000"/>
        <rFont val="나눔고딕"/>
        <family val="2"/>
      </rPr>
      <t>개의 하루 최대</t>
    </r>
    <r>
      <rPr>
        <sz val="10"/>
        <color rgb="FF000000"/>
        <rFont val="Arial"/>
        <charset val="1"/>
      </rPr>
      <t>/</t>
    </r>
    <r>
      <rPr>
        <sz val="10"/>
        <color rgb="FF000000"/>
        <rFont val="나눔고딕"/>
        <family val="2"/>
      </rPr>
      <t>재고 상한</t>
    </r>
    <r>
      <rPr>
        <sz val="10"/>
        <color rgb="FF000000"/>
        <rFont val="Arial"/>
        <charset val="1"/>
      </rPr>
      <t>/</t>
    </r>
    <r>
      <rPr>
        <sz val="10"/>
        <color rgb="FF000000"/>
        <rFont val="나눔고딕"/>
        <family val="2"/>
      </rPr>
      <t>셀당 원가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 xml:space="preserve">배 </t>
    </r>
    <r>
      <rPr>
        <sz val="10"/>
        <color rgb="FF000000"/>
        <rFont val="Arial"/>
        <charset val="1"/>
      </rPr>
      <t>3</t>
    </r>
    <r>
      <rPr>
        <sz val="10"/>
        <color rgb="FF000000"/>
        <rFont val="나눔고딕"/>
        <family val="2"/>
      </rPr>
      <t>척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 xml:space="preserve">척당 일 운항비 </t>
    </r>
    <r>
      <rPr>
        <sz val="10"/>
        <color rgb="FF000000"/>
        <rFont val="Arial"/>
        <charset val="1"/>
      </rPr>
      <t xml:space="preserve">1, </t>
    </r>
    <r>
      <rPr>
        <sz val="10"/>
        <color rgb="FF000000"/>
        <rFont val="나눔고딕"/>
        <family val="2"/>
      </rPr>
      <t xml:space="preserve">항로 </t>
    </r>
    <r>
      <rPr>
        <sz val="10"/>
        <color rgb="FF000000"/>
        <rFont val="Arial"/>
        <charset val="1"/>
      </rPr>
      <t>10</t>
    </r>
    <r>
      <rPr>
        <sz val="10"/>
        <color rgb="FF000000"/>
        <rFont val="나눔고딕"/>
        <family val="2"/>
      </rPr>
      <t>개 값이 채워져 있다</t>
    </r>
  </si>
  <si>
    <t>FR-17, FR-19</t>
  </si>
  <si>
    <t>input[name^=maxDaily_], input[name=shipCount]</t>
  </si>
  <si>
    <r>
      <rPr>
        <sz val="10"/>
        <color rgb="FF000000"/>
        <rFont val="나눔고딕"/>
        <family val="2"/>
      </rPr>
      <t xml:space="preserve">기본값은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테스트 데이터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시트 참고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이미 바뀌었을 수 있음</t>
    </r>
    <r>
      <rPr>
        <sz val="10"/>
        <color rgb="FF000000"/>
        <rFont val="Arial"/>
        <charset val="1"/>
      </rPr>
      <t>)</t>
    </r>
  </si>
  <si>
    <t>MST-02</t>
  </si>
  <si>
    <t>값 수정 후 저장</t>
  </si>
  <si>
    <t>마스터 원복 방법 준비</t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</si>
  <si>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중국 하루 최대 생산량을 </t>
    </r>
    <r>
      <rPr>
        <sz val="10"/>
        <color rgb="FF000000"/>
        <rFont val="Arial"/>
        <charset val="1"/>
      </rPr>
      <t xml:space="preserve">400 → 500 </t>
    </r>
    <r>
      <rPr>
        <sz val="10"/>
        <color rgb="FF000000"/>
        <rFont val="나눔고딕"/>
        <family val="2"/>
      </rPr>
      <t xml:space="preserve">으로 변경
</t>
    </r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>저장 클릭</t>
    </r>
  </si>
  <si>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마스터 데이터를 저장했습니다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표시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 xml:space="preserve">새로고침해도 </t>
    </r>
    <r>
      <rPr>
        <sz val="10"/>
        <color rgb="FF000000"/>
        <rFont val="Arial"/>
        <charset val="1"/>
      </rPr>
      <t xml:space="preserve">500 </t>
    </r>
    <r>
      <rPr>
        <sz val="10"/>
        <color rgb="FF000000"/>
        <rFont val="나눔고딕"/>
        <family val="2"/>
      </rPr>
      <t>유지</t>
    </r>
    <r>
      <rPr>
        <sz val="10"/>
        <color rgb="FF000000"/>
        <rFont val="Arial"/>
        <charset val="1"/>
      </rPr>
      <t xml:space="preserve">. (afterEach </t>
    </r>
    <r>
      <rPr>
        <sz val="10"/>
        <color rgb="FF000000"/>
        <rFont val="나눔고딕"/>
        <family val="2"/>
      </rPr>
      <t xml:space="preserve">에서 </t>
    </r>
    <r>
      <rPr>
        <sz val="10"/>
        <color rgb="FF000000"/>
        <rFont val="Arial"/>
        <charset val="1"/>
      </rPr>
      <t xml:space="preserve">400 </t>
    </r>
    <r>
      <rPr>
        <sz val="10"/>
        <color rgb="FF000000"/>
        <rFont val="나눔고딕"/>
        <family val="2"/>
      </rPr>
      <t>으로 원복</t>
    </r>
    <r>
      <rPr>
        <sz val="10"/>
        <color rgb="FF000000"/>
        <rFont val="Arial"/>
        <charset val="1"/>
      </rPr>
      <t>)</t>
    </r>
  </si>
  <si>
    <t>FR-17</t>
  </si>
  <si>
    <t>input[name=maxDaily_CHINA], .alert.ok</t>
  </si>
  <si>
    <t>MST-03</t>
  </si>
  <si>
    <r>
      <rPr>
        <sz val="10"/>
        <color rgb="FF000000"/>
        <rFont val="나눔고딕"/>
        <family val="2"/>
      </rPr>
      <t>빈 값</t>
    </r>
    <r>
      <rPr>
        <sz val="10"/>
        <color rgb="FF000000"/>
        <rFont val="Arial"/>
        <charset val="1"/>
      </rPr>
      <t>/0/</t>
    </r>
    <r>
      <rPr>
        <sz val="10"/>
        <color rgb="FF000000"/>
        <rFont val="나눔고딕"/>
        <family val="2"/>
      </rPr>
      <t>음수 입력 시 저장 거부</t>
    </r>
  </si>
  <si>
    <t>마스터 화면</t>
  </si>
  <si>
    <r>
      <rPr>
        <sz val="10"/>
        <color rgb="FF000000"/>
        <rFont val="Arial"/>
        <charset val="1"/>
      </rPr>
      <t xml:space="preserve">1. form.noValidate = true </t>
    </r>
    <r>
      <rPr>
        <sz val="10"/>
        <color rgb="FF000000"/>
        <rFont val="나눔고딕"/>
        <family val="2"/>
      </rPr>
      <t xml:space="preserve">로 브라우저 검증 해제
</t>
    </r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 xml:space="preserve">중국 재고 상한을 </t>
    </r>
    <r>
      <rPr>
        <sz val="10"/>
        <color rgb="FF000000"/>
        <rFont val="Arial"/>
        <charset val="1"/>
      </rPr>
      <t xml:space="preserve">0 </t>
    </r>
    <r>
      <rPr>
        <sz val="10"/>
        <color rgb="FF000000"/>
        <rFont val="나눔고딕"/>
        <family val="2"/>
      </rPr>
      <t xml:space="preserve">으로 변경
</t>
    </r>
    <r>
      <rPr>
        <sz val="10"/>
        <color rgb="FF000000"/>
        <rFont val="Arial"/>
        <charset val="1"/>
      </rPr>
      <t xml:space="preserve">3. </t>
    </r>
    <r>
      <rPr>
        <sz val="10"/>
        <color rgb="FF000000"/>
        <rFont val="나눔고딕"/>
        <family val="2"/>
      </rPr>
      <t>저장</t>
    </r>
  </si>
  <si>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저장하지 않았습니다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 xml:space="preserve">와 사유 목록이 표시되고 </t>
    </r>
    <r>
      <rPr>
        <sz val="10"/>
        <color rgb="FF000000"/>
        <rFont val="Arial"/>
        <charset val="1"/>
      </rPr>
      <t xml:space="preserve">DB </t>
    </r>
    <r>
      <rPr>
        <sz val="10"/>
        <color rgb="FF000000"/>
        <rFont val="나눔고딕"/>
        <family val="2"/>
      </rPr>
      <t>는 변하지 않는다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입력한 값은 화면에 유지된다</t>
    </r>
  </si>
  <si>
    <t>FR-18</t>
  </si>
  <si>
    <t>.alert.error li</t>
  </si>
  <si>
    <r>
      <rPr>
        <sz val="10"/>
        <color rgb="FF000000"/>
        <rFont val="Arial"/>
        <charset val="1"/>
      </rPr>
      <t xml:space="preserve">input min </t>
    </r>
    <r>
      <rPr>
        <sz val="10"/>
        <color rgb="FF000000"/>
        <rFont val="나눔고딕"/>
        <family val="2"/>
      </rPr>
      <t xml:space="preserve">속성 때문에 브라우저 검증이 서버 검증을 가린다 → </t>
    </r>
    <r>
      <rPr>
        <sz val="10"/>
        <color rgb="FF000000"/>
        <rFont val="Arial"/>
        <charset val="1"/>
      </rPr>
      <t xml:space="preserve">noValidate </t>
    </r>
    <r>
      <rPr>
        <sz val="10"/>
        <color rgb="FF000000"/>
        <rFont val="나눔고딕"/>
        <family val="2"/>
      </rPr>
      <t>필요</t>
    </r>
  </si>
  <si>
    <t>MST-04</t>
  </si>
  <si>
    <t>여러 오류를 한 번에 표시</t>
  </si>
  <si>
    <r>
      <rPr>
        <sz val="10"/>
        <color rgb="FF000000"/>
        <rFont val="Arial"/>
        <charset val="1"/>
      </rPr>
      <t xml:space="preserve">1. noValidate </t>
    </r>
    <r>
      <rPr>
        <sz val="10"/>
        <color rgb="FF000000"/>
        <rFont val="나눔고딕"/>
        <family val="2"/>
      </rPr>
      <t xml:space="preserve">후 배 척수 </t>
    </r>
    <r>
      <rPr>
        <sz val="10"/>
        <color rgb="FF000000"/>
        <rFont val="Arial"/>
        <charset val="1"/>
      </rPr>
      <t xml:space="preserve">0, </t>
    </r>
    <r>
      <rPr>
        <sz val="10"/>
        <color rgb="FF000000"/>
        <rFont val="나눔고딕"/>
        <family val="2"/>
      </rPr>
      <t>중국 재고 상한 비움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 xml:space="preserve">항로 하나 </t>
    </r>
    <r>
      <rPr>
        <sz val="10"/>
        <color rgb="FF000000"/>
        <rFont val="Arial"/>
        <charset val="1"/>
      </rPr>
      <t xml:space="preserve">366 </t>
    </r>
    <r>
      <rPr>
        <sz val="10"/>
        <color rgb="FF000000"/>
        <rFont val="나눔고딕"/>
        <family val="2"/>
      </rPr>
      <t xml:space="preserve">입력
</t>
    </r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>저장</t>
    </r>
  </si>
  <si>
    <r>
      <rPr>
        <sz val="10"/>
        <color rgb="FF000000"/>
        <rFont val="나눔고딕"/>
        <family val="2"/>
      </rPr>
      <t xml:space="preserve">오류 </t>
    </r>
    <r>
      <rPr>
        <sz val="10"/>
        <color rgb="FF000000"/>
        <rFont val="Arial"/>
        <charset val="1"/>
      </rPr>
      <t>3</t>
    </r>
    <r>
      <rPr>
        <sz val="10"/>
        <color rgb="FF000000"/>
        <rFont val="나눔고딕"/>
        <family val="2"/>
      </rPr>
      <t>개 이상이 한 번에 목록으로 나온다</t>
    </r>
  </si>
  <si>
    <t>MST-05</t>
  </si>
  <si>
    <r>
      <rPr>
        <sz val="10"/>
        <color rgb="FF000000"/>
        <rFont val="나눔고딕"/>
        <family val="2"/>
      </rPr>
      <t>배 척수 경계</t>
    </r>
    <r>
      <rPr>
        <sz val="10"/>
        <color rgb="FF000000"/>
        <rFont val="Arial"/>
        <charset val="1"/>
      </rPr>
      <t xml:space="preserve">(1, 4 </t>
    </r>
    <r>
      <rPr>
        <sz val="10"/>
        <color rgb="FF000000"/>
        <rFont val="나눔고딕"/>
        <family val="2"/>
      </rPr>
      <t xml:space="preserve">허용 </t>
    </r>
    <r>
      <rPr>
        <sz val="10"/>
        <color rgb="FF000000"/>
        <rFont val="Arial"/>
        <charset val="1"/>
      </rPr>
      <t xml:space="preserve">/ 0, 5 </t>
    </r>
    <r>
      <rPr>
        <sz val="10"/>
        <color rgb="FF000000"/>
        <rFont val="나눔고딕"/>
        <family val="2"/>
      </rPr>
      <t>거부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</si>
  <si>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배 척수 </t>
    </r>
    <r>
      <rPr>
        <sz val="10"/>
        <color rgb="FF000000"/>
        <rFont val="Arial"/>
        <charset val="1"/>
      </rPr>
      <t xml:space="preserve">1 </t>
    </r>
    <r>
      <rPr>
        <sz val="10"/>
        <color rgb="FF000000"/>
        <rFont val="나눔고딕"/>
        <family val="2"/>
      </rPr>
      <t xml:space="preserve">저장 → </t>
    </r>
    <r>
      <rPr>
        <sz val="10"/>
        <color rgb="FF000000"/>
        <rFont val="Arial"/>
        <charset val="1"/>
      </rPr>
      <t xml:space="preserve">4 </t>
    </r>
    <r>
      <rPr>
        <sz val="10"/>
        <color rgb="FF000000"/>
        <rFont val="나눔고딕"/>
        <family val="2"/>
      </rPr>
      <t xml:space="preserve">저장
</t>
    </r>
    <r>
      <rPr>
        <sz val="10"/>
        <color rgb="FF000000"/>
        <rFont val="Arial"/>
        <charset val="1"/>
      </rPr>
      <t xml:space="preserve">2. noValidate </t>
    </r>
    <r>
      <rPr>
        <sz val="10"/>
        <color rgb="FF000000"/>
        <rFont val="나눔고딕"/>
        <family val="2"/>
      </rPr>
      <t xml:space="preserve">후 </t>
    </r>
    <r>
      <rPr>
        <sz val="10"/>
        <color rgb="FF000000"/>
        <rFont val="Arial"/>
        <charset val="1"/>
      </rPr>
      <t xml:space="preserve">0 </t>
    </r>
    <r>
      <rPr>
        <sz val="10"/>
        <color rgb="FF000000"/>
        <rFont val="나눔고딕"/>
        <family val="2"/>
      </rPr>
      <t xml:space="preserve">저장 → </t>
    </r>
    <r>
      <rPr>
        <sz val="10"/>
        <color rgb="FF000000"/>
        <rFont val="Arial"/>
        <charset val="1"/>
      </rPr>
      <t xml:space="preserve">5 </t>
    </r>
    <r>
      <rPr>
        <sz val="10"/>
        <color rgb="FF000000"/>
        <rFont val="나눔고딕"/>
        <family val="2"/>
      </rPr>
      <t>저장</t>
    </r>
  </si>
  <si>
    <r>
      <rPr>
        <sz val="10"/>
        <color rgb="FF000000"/>
        <rFont val="Arial"/>
        <charset val="1"/>
      </rPr>
      <t>1</t>
    </r>
    <r>
      <rPr>
        <sz val="10"/>
        <color rgb="FF000000"/>
        <rFont val="나눔고딕"/>
        <family val="2"/>
      </rPr>
      <t xml:space="preserve">과 </t>
    </r>
    <r>
      <rPr>
        <sz val="10"/>
        <color rgb="FF000000"/>
        <rFont val="Arial"/>
        <charset val="1"/>
      </rPr>
      <t xml:space="preserve">4 </t>
    </r>
    <r>
      <rPr>
        <sz val="10"/>
        <color rgb="FF000000"/>
        <rFont val="나눔고딕"/>
        <family val="2"/>
      </rPr>
      <t>는 저장 성공</t>
    </r>
    <r>
      <rPr>
        <sz val="10"/>
        <color rgb="FF000000"/>
        <rFont val="Arial"/>
        <charset val="1"/>
      </rPr>
      <t xml:space="preserve">, 0 </t>
    </r>
    <r>
      <rPr>
        <sz val="10"/>
        <color rgb="FF000000"/>
        <rFont val="나눔고딕"/>
        <family val="2"/>
      </rPr>
      <t xml:space="preserve">과 </t>
    </r>
    <r>
      <rPr>
        <sz val="10"/>
        <color rgb="FF000000"/>
        <rFont val="Arial"/>
        <charset val="1"/>
      </rPr>
      <t xml:space="preserve">5 </t>
    </r>
    <r>
      <rPr>
        <sz val="10"/>
        <color rgb="FF000000"/>
        <rFont val="나눔고딕"/>
        <family val="2"/>
      </rPr>
      <t xml:space="preserve">는 </t>
    </r>
    <r>
      <rPr>
        <sz val="10"/>
        <color rgb="FF000000"/>
        <rFont val="Arial"/>
        <charset val="1"/>
      </rPr>
      <t xml:space="preserve">'1 </t>
    </r>
    <r>
      <rPr>
        <sz val="10"/>
        <color rgb="FF000000"/>
        <rFont val="나눔고딕"/>
        <family val="2"/>
      </rPr>
      <t xml:space="preserve">이상 </t>
    </r>
    <r>
      <rPr>
        <sz val="10"/>
        <color rgb="FF000000"/>
        <rFont val="Arial"/>
        <charset val="1"/>
      </rPr>
      <t xml:space="preserve">4 </t>
    </r>
    <r>
      <rPr>
        <sz val="10"/>
        <color rgb="FF000000"/>
        <rFont val="나눔고딕"/>
        <family val="2"/>
      </rPr>
      <t>이하의 정수여야 합니다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오류</t>
    </r>
  </si>
  <si>
    <t>input[name=shipCount]</t>
  </si>
  <si>
    <t>MST-06</t>
  </si>
  <si>
    <r>
      <rPr>
        <sz val="10"/>
        <color rgb="FF000000"/>
        <rFont val="나눔고딕"/>
        <family val="2"/>
      </rPr>
      <t>항로 일수 경계</t>
    </r>
    <r>
      <rPr>
        <sz val="10"/>
        <color rgb="FF000000"/>
        <rFont val="Arial"/>
        <charset val="1"/>
      </rPr>
      <t xml:space="preserve">(365 </t>
    </r>
    <r>
      <rPr>
        <sz val="10"/>
        <color rgb="FF000000"/>
        <rFont val="나눔고딕"/>
        <family val="2"/>
      </rPr>
      <t xml:space="preserve">허용 </t>
    </r>
    <r>
      <rPr>
        <sz val="10"/>
        <color rgb="FF000000"/>
        <rFont val="Arial"/>
        <charset val="1"/>
      </rPr>
      <t xml:space="preserve">/ 366 </t>
    </r>
    <r>
      <rPr>
        <sz val="10"/>
        <color rgb="FF000000"/>
        <rFont val="나눔고딕"/>
        <family val="2"/>
      </rPr>
      <t>거부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</si>
  <si>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>한국</t>
    </r>
    <r>
      <rPr>
        <sz val="10"/>
        <color rgb="FF000000"/>
        <rFont val="Arial"/>
        <charset val="1"/>
      </rPr>
      <t>-</t>
    </r>
    <r>
      <rPr>
        <sz val="10"/>
        <color rgb="FF000000"/>
        <rFont val="나눔고딕"/>
        <family val="2"/>
      </rPr>
      <t xml:space="preserve">중국 항로를 </t>
    </r>
    <r>
      <rPr>
        <sz val="10"/>
        <color rgb="FF000000"/>
        <rFont val="Arial"/>
        <charset val="1"/>
      </rPr>
      <t xml:space="preserve">365 </t>
    </r>
    <r>
      <rPr>
        <sz val="10"/>
        <color rgb="FF000000"/>
        <rFont val="나눔고딕"/>
        <family val="2"/>
      </rPr>
      <t xml:space="preserve">로 저장
</t>
    </r>
    <r>
      <rPr>
        <sz val="10"/>
        <color rgb="FF000000"/>
        <rFont val="Arial"/>
        <charset val="1"/>
      </rPr>
      <t xml:space="preserve">2. noValidate </t>
    </r>
    <r>
      <rPr>
        <sz val="10"/>
        <color rgb="FF000000"/>
        <rFont val="나눔고딕"/>
        <family val="2"/>
      </rPr>
      <t xml:space="preserve">후 </t>
    </r>
    <r>
      <rPr>
        <sz val="10"/>
        <color rgb="FF000000"/>
        <rFont val="Arial"/>
        <charset val="1"/>
      </rPr>
      <t xml:space="preserve">366 </t>
    </r>
    <r>
      <rPr>
        <sz val="10"/>
        <color rgb="FF000000"/>
        <rFont val="나눔고딕"/>
        <family val="2"/>
      </rPr>
      <t>저장</t>
    </r>
  </si>
  <si>
    <r>
      <rPr>
        <sz val="10"/>
        <color rgb="FF000000"/>
        <rFont val="Arial"/>
        <charset val="1"/>
      </rPr>
      <t xml:space="preserve">365 </t>
    </r>
    <r>
      <rPr>
        <sz val="10"/>
        <color rgb="FF000000"/>
        <rFont val="나눔고딕"/>
        <family val="2"/>
      </rPr>
      <t>는 성공</t>
    </r>
    <r>
      <rPr>
        <sz val="10"/>
        <color rgb="FF000000"/>
        <rFont val="Arial"/>
        <charset val="1"/>
      </rPr>
      <t xml:space="preserve">, 366 </t>
    </r>
    <r>
      <rPr>
        <sz val="10"/>
        <color rgb="FF000000"/>
        <rFont val="나눔고딕"/>
        <family val="2"/>
      </rPr>
      <t xml:space="preserve">은 </t>
    </r>
    <r>
      <rPr>
        <sz val="10"/>
        <color rgb="FF000000"/>
        <rFont val="Arial"/>
        <charset val="1"/>
      </rPr>
      <t xml:space="preserve">'1 </t>
    </r>
    <r>
      <rPr>
        <sz val="10"/>
        <color rgb="FF000000"/>
        <rFont val="나눔고딕"/>
        <family val="2"/>
      </rPr>
      <t xml:space="preserve">이상 </t>
    </r>
    <r>
      <rPr>
        <sz val="10"/>
        <color rgb="FF000000"/>
        <rFont val="Arial"/>
        <charset val="1"/>
      </rPr>
      <t xml:space="preserve">365 </t>
    </r>
    <r>
      <rPr>
        <sz val="10"/>
        <color rgb="FF000000"/>
        <rFont val="나눔고딕"/>
        <family val="2"/>
      </rPr>
      <t>이하의 정수여야 합니다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오류</t>
    </r>
  </si>
  <si>
    <t>input[name=days_KOREA_CHINA]</t>
  </si>
  <si>
    <t>MST-07</t>
  </si>
  <si>
    <t>척당 일 운항비 형식 검증</t>
  </si>
  <si>
    <r>
      <rPr>
        <sz val="10"/>
        <color rgb="FF000000"/>
        <rFont val="Arial"/>
        <charset val="1"/>
      </rPr>
      <t xml:space="preserve">1. 'abc' </t>
    </r>
    <r>
      <rPr>
        <sz val="10"/>
        <color rgb="FF000000"/>
        <rFont val="나눔고딕"/>
        <family val="2"/>
      </rPr>
      <t xml:space="preserve">입력 후 저장
</t>
    </r>
    <r>
      <rPr>
        <sz val="10"/>
        <color rgb="FF000000"/>
        <rFont val="Arial"/>
        <charset val="1"/>
      </rPr>
      <t xml:space="preserve">2. 0 </t>
    </r>
    <r>
      <rPr>
        <sz val="10"/>
        <color rgb="FF000000"/>
        <rFont val="나눔고딕"/>
        <family val="2"/>
      </rPr>
      <t xml:space="preserve">입력 후 저장
</t>
    </r>
    <r>
      <rPr>
        <sz val="10"/>
        <color rgb="FF000000"/>
        <rFont val="Arial"/>
        <charset val="1"/>
      </rPr>
      <t xml:space="preserve">3. 0.000000001 </t>
    </r>
    <r>
      <rPr>
        <sz val="10"/>
        <color rgb="FF000000"/>
        <rFont val="나눔고딕"/>
        <family val="2"/>
      </rPr>
      <t>입력 후 저장</t>
    </r>
  </si>
  <si>
    <r>
      <rPr>
        <sz val="10"/>
        <color rgb="FF000000"/>
        <rFont val="나눔고딕"/>
        <family val="2"/>
      </rPr>
      <t xml:space="preserve">각각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숫자로 입력하세요</t>
    </r>
    <r>
      <rPr>
        <sz val="10"/>
        <color rgb="FF000000"/>
        <rFont val="Arial"/>
        <charset val="1"/>
      </rPr>
      <t>', '0</t>
    </r>
    <r>
      <rPr>
        <sz val="10"/>
        <color rgb="FF000000"/>
        <rFont val="나눔고딕"/>
        <family val="2"/>
      </rPr>
      <t>보다 커야 합니다</t>
    </r>
    <r>
      <rPr>
        <sz val="10"/>
        <color rgb="FF000000"/>
        <rFont val="Arial"/>
        <charset val="1"/>
      </rPr>
      <t>', '</t>
    </r>
    <r>
      <rPr>
        <sz val="10"/>
        <color rgb="FF000000"/>
        <rFont val="나눔고딕"/>
        <family val="2"/>
      </rPr>
      <t>원 단위로 떨어지는 값이어야 합니다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오류</t>
    </r>
    <r>
      <rPr>
        <sz val="10"/>
        <color rgb="FF000000"/>
        <rFont val="Arial"/>
        <charset val="1"/>
      </rPr>
      <t xml:space="preserve">. 0.5 </t>
    </r>
    <r>
      <rPr>
        <sz val="10"/>
        <color rgb="FF000000"/>
        <rFont val="나눔고딕"/>
        <family val="2"/>
      </rPr>
      <t>는 저장 가능</t>
    </r>
  </si>
  <si>
    <t>input[name=shipDailyCost]</t>
  </si>
  <si>
    <t>MST-08</t>
  </si>
  <si>
    <t>마스터 변경이 이후 시뮬레이션에 반영</t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</si>
  <si>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배 척수를 </t>
    </r>
    <r>
      <rPr>
        <sz val="10"/>
        <color rgb="FF000000"/>
        <rFont val="Arial"/>
        <charset val="1"/>
      </rPr>
      <t xml:space="preserve">1 </t>
    </r>
    <r>
      <rPr>
        <sz val="10"/>
        <color rgb="FF000000"/>
        <rFont val="나눔고딕"/>
        <family val="2"/>
      </rPr>
      <t xml:space="preserve">로 저장
</t>
    </r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>주문 추가에서 시뮬레이션 실행</t>
    </r>
  </si>
  <si>
    <r>
      <rPr>
        <sz val="10"/>
        <color rgb="FF000000"/>
        <rFont val="나눔고딕"/>
        <family val="2"/>
      </rPr>
      <t xml:space="preserve">모든 옵션 카드가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 xml:space="preserve">배 </t>
    </r>
    <r>
      <rPr>
        <sz val="10"/>
        <color rgb="FF000000"/>
        <rFont val="Arial"/>
        <charset val="1"/>
      </rPr>
      <t>1</t>
    </r>
    <r>
      <rPr>
        <sz val="10"/>
        <color rgb="FF000000"/>
        <rFont val="나눔고딕"/>
        <family val="2"/>
      </rPr>
      <t>척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으로 표시된다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원복 후 </t>
    </r>
    <r>
      <rPr>
        <sz val="10"/>
        <color rgb="FF000000"/>
        <rFont val="Arial"/>
        <charset val="1"/>
      </rPr>
      <t>3</t>
    </r>
    <r>
      <rPr>
        <sz val="10"/>
        <color rgb="FF000000"/>
        <rFont val="나눔고딕"/>
        <family val="2"/>
      </rPr>
      <t>척 이하</t>
    </r>
    <r>
      <rPr>
        <sz val="10"/>
        <color rgb="FF000000"/>
        <rFont val="Arial"/>
        <charset val="1"/>
      </rPr>
      <t>)</t>
    </r>
  </si>
  <si>
    <t>#options .option span.muted</t>
  </si>
  <si>
    <t>MST-09</t>
  </si>
  <si>
    <t>마스터 변경이 기존 주문 계획에 영향 없음</t>
  </si>
  <si>
    <r>
      <rPr>
        <sz val="10"/>
        <color rgb="FF000000"/>
        <rFont val="나눔고딕"/>
        <family val="2"/>
      </rPr>
      <t xml:space="preserve">확정된 주문 </t>
    </r>
    <r>
      <rPr>
        <sz val="10"/>
        <color rgb="FF000000"/>
        <rFont val="Arial"/>
        <charset val="1"/>
      </rPr>
      <t>1</t>
    </r>
    <r>
      <rPr>
        <sz val="10"/>
        <color rgb="FF000000"/>
        <rFont val="나눔고딕"/>
        <family val="2"/>
      </rPr>
      <t>건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마스터 원복 방법 준비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</si>
  <si>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>주문 상세의 소요 일수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 xml:space="preserve">총 비용 기록
</t>
    </r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>마스터의 항로</t>
    </r>
    <r>
      <rPr>
        <sz val="10"/>
        <color rgb="FF000000"/>
        <rFont val="Arial"/>
        <charset val="1"/>
      </rPr>
      <t>/</t>
    </r>
    <r>
      <rPr>
        <sz val="10"/>
        <color rgb="FF000000"/>
        <rFont val="나눔고딕"/>
        <family val="2"/>
      </rPr>
      <t xml:space="preserve">원가 변경 후 저장
</t>
    </r>
    <r>
      <rPr>
        <sz val="10"/>
        <color rgb="FF000000"/>
        <rFont val="Arial"/>
        <charset val="1"/>
      </rPr>
      <t xml:space="preserve">3. </t>
    </r>
    <r>
      <rPr>
        <sz val="10"/>
        <color rgb="FF000000"/>
        <rFont val="나눔고딕"/>
        <family val="2"/>
      </rPr>
      <t>같은 주문 상세 다시 열기</t>
    </r>
  </si>
  <si>
    <r>
      <rPr>
        <sz val="10"/>
        <color rgb="FF000000"/>
        <rFont val="나눔고딕"/>
        <family val="2"/>
      </rPr>
      <t>소요 일수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총 비용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계획 표가 변경 전과 동일하다</t>
    </r>
  </si>
  <si>
    <t>FR-11</t>
  </si>
  <si>
    <t>dl.meta, #summary</t>
  </si>
  <si>
    <t>MST-10</t>
  </si>
  <si>
    <r>
      <rPr>
        <sz val="10"/>
        <color rgb="FF000000"/>
        <rFont val="Arial"/>
        <charset val="1"/>
      </rPr>
      <t>[</t>
    </r>
    <r>
      <rPr>
        <sz val="10"/>
        <color rgb="FF000000"/>
        <rFont val="나눔고딕"/>
        <family val="2"/>
      </rPr>
      <t>탐색</t>
    </r>
    <r>
      <rPr>
        <sz val="10"/>
        <color rgb="FF000000"/>
        <rFont val="Arial"/>
        <charset val="1"/>
      </rPr>
      <t xml:space="preserve">] </t>
    </r>
    <r>
      <rPr>
        <sz val="10"/>
        <color rgb="FF000000"/>
        <rFont val="나눔고딕"/>
        <family val="2"/>
      </rPr>
      <t>두 사람이 동시에 기준 정보를 저장</t>
    </r>
  </si>
  <si>
    <r>
      <rPr>
        <sz val="10"/>
        <color rgb="FF000000"/>
        <rFont val="나눔고딕"/>
        <family val="2"/>
      </rPr>
      <t>마스터 원복 방법 준비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 xml:space="preserve">컨텍스트 </t>
    </r>
    <r>
      <rPr>
        <sz val="10"/>
        <color rgb="FF000000"/>
        <rFont val="Arial"/>
        <charset val="1"/>
      </rPr>
      <t>2</t>
    </r>
    <r>
      <rPr>
        <sz val="10"/>
        <color rgb="FF000000"/>
        <rFont val="나눔고딕"/>
        <family val="2"/>
      </rPr>
      <t>개</t>
    </r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</si>
  <si>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컨텍스트 </t>
    </r>
    <r>
      <rPr>
        <sz val="10"/>
        <color rgb="FF000000"/>
        <rFont val="Arial"/>
        <charset val="1"/>
      </rPr>
      <t xml:space="preserve">A, B </t>
    </r>
    <r>
      <rPr>
        <sz val="10"/>
        <color rgb="FF000000"/>
        <rFont val="나눔고딕"/>
        <family val="2"/>
      </rPr>
      <t xml:space="preserve">가 같은 </t>
    </r>
    <r>
      <rPr>
        <sz val="10"/>
        <color rgb="FF000000"/>
        <rFont val="Arial"/>
        <charset val="1"/>
      </rPr>
      <t xml:space="preserve">/master </t>
    </r>
    <r>
      <rPr>
        <sz val="10"/>
        <color rgb="FF000000"/>
        <rFont val="나눔고딕"/>
        <family val="2"/>
      </rPr>
      <t xml:space="preserve">를 연다 </t>
    </r>
    <r>
      <rPr>
        <sz val="10"/>
        <color rgb="FF000000"/>
        <rFont val="Arial"/>
        <charset val="1"/>
      </rPr>
      <t xml:space="preserve">/ 2. A </t>
    </r>
    <r>
      <rPr>
        <sz val="10"/>
        <color rgb="FF000000"/>
        <rFont val="나눔고딕"/>
        <family val="2"/>
      </rPr>
      <t xml:space="preserve">가 배 척수를 </t>
    </r>
    <r>
      <rPr>
        <sz val="10"/>
        <color rgb="FF000000"/>
        <rFont val="Arial"/>
        <charset val="1"/>
      </rPr>
      <t xml:space="preserve">2 </t>
    </r>
    <r>
      <rPr>
        <sz val="10"/>
        <color rgb="FF000000"/>
        <rFont val="나눔고딕"/>
        <family val="2"/>
      </rPr>
      <t xml:space="preserve">로 저장 </t>
    </r>
    <r>
      <rPr>
        <sz val="10"/>
        <color rgb="FF000000"/>
        <rFont val="Arial"/>
        <charset val="1"/>
      </rPr>
      <t>/ 3. B(</t>
    </r>
    <r>
      <rPr>
        <sz val="10"/>
        <color rgb="FF000000"/>
        <rFont val="나눔고딕"/>
        <family val="2"/>
      </rPr>
      <t>옛 화면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가 하루 운항비를 바꿔 저장</t>
    </r>
  </si>
  <si>
    <r>
      <rPr>
        <sz val="10"/>
        <color rgb="FF000000"/>
        <rFont val="나눔고딕"/>
        <family val="2"/>
      </rPr>
      <t>확인 필요</t>
    </r>
    <r>
      <rPr>
        <sz val="10"/>
        <color rgb="FF000000"/>
        <rFont val="Arial"/>
        <charset val="1"/>
      </rPr>
      <t xml:space="preserve">: </t>
    </r>
    <r>
      <rPr>
        <sz val="10"/>
        <color rgb="FF000000"/>
        <rFont val="나눔고딕"/>
        <family val="2"/>
      </rPr>
      <t xml:space="preserve">코드상 동시 수정 방지가 걸려 있어 </t>
    </r>
    <r>
      <rPr>
        <sz val="10"/>
        <color rgb="FF000000"/>
        <rFont val="Arial"/>
        <charset val="1"/>
      </rPr>
      <t xml:space="preserve">B </t>
    </r>
    <r>
      <rPr>
        <sz val="10"/>
        <color rgb="FF000000"/>
        <rFont val="나눔고딕"/>
        <family val="2"/>
      </rPr>
      <t>저장이 오류가 날 수 있다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오류 화면 형태와 안내 문구는 정해져 있지 않다 → 팀이 기대 동작을 먼저 정한다</t>
    </r>
  </si>
  <si>
    <r>
      <rPr>
        <sz val="10"/>
        <color rgb="FF000000"/>
        <rFont val="나눔고딕"/>
        <family val="2"/>
      </rPr>
      <t>리스크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동시 저장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</si>
  <si>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나눔고딕"/>
        <family val="2"/>
      </rPr>
      <t xml:space="preserve">두 번째 </t>
    </r>
    <r>
      <rPr>
        <sz val="10"/>
        <color rgb="FF000000"/>
        <rFont val="Arial"/>
        <charset val="1"/>
      </rPr>
      <t>browser context, .alert</t>
    </r>
  </si>
  <si>
    <r>
      <rPr>
        <sz val="10"/>
        <color rgb="FF000000"/>
        <rFont val="Arial"/>
        <charset val="1"/>
      </rPr>
      <t xml:space="preserve">PRD </t>
    </r>
    <r>
      <rPr>
        <sz val="10"/>
        <color rgb="FF000000"/>
        <rFont val="나눔고딕"/>
        <family val="2"/>
      </rPr>
      <t xml:space="preserve">리스크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기준 정보 동시 저장</t>
    </r>
    <r>
      <rPr>
        <sz val="10"/>
        <color rgb="FF000000"/>
        <rFont val="Arial"/>
        <charset val="1"/>
      </rPr>
      <t xml:space="preserve">'. </t>
    </r>
    <r>
      <rPr>
        <sz val="10"/>
        <color rgb="FF000000"/>
        <rFont val="나눔고딕"/>
        <family val="2"/>
      </rPr>
      <t>코드로 확인한 가능성이며 실행해 보지 않음</t>
    </r>
  </si>
  <si>
    <t>API-01</t>
  </si>
  <si>
    <t>API</t>
  </si>
  <si>
    <r>
      <rPr>
        <sz val="10"/>
        <color rgb="FF000000"/>
        <rFont val="Arial"/>
        <charset val="1"/>
      </rPr>
      <t xml:space="preserve">GET /api/master </t>
    </r>
    <r>
      <rPr>
        <sz val="10"/>
        <color rgb="FF000000"/>
        <rFont val="나눔고딕"/>
        <family val="2"/>
      </rPr>
      <t>응답 구조</t>
    </r>
  </si>
  <si>
    <t>로그인 세션</t>
  </si>
  <si>
    <t>1. page.request.get('/api/master')</t>
  </si>
  <si>
    <r>
      <rPr>
        <sz val="10"/>
        <color rgb="FF000000"/>
        <rFont val="Arial"/>
        <charset val="1"/>
      </rPr>
      <t xml:space="preserve">200, version/shipCount/shipDailyCostWon/factories(4)/routes(10) </t>
    </r>
    <r>
      <rPr>
        <sz val="10"/>
        <color rgb="FF000000"/>
        <rFont val="나눔고딕"/>
        <family val="2"/>
      </rPr>
      <t>포함</t>
    </r>
  </si>
  <si>
    <t>page.request</t>
  </si>
  <si>
    <t>API-02</t>
  </si>
  <si>
    <r>
      <rPr>
        <sz val="10"/>
        <color rgb="FF000000"/>
        <rFont val="나눔고딕"/>
        <family val="2"/>
      </rPr>
      <t xml:space="preserve">수량이 모두 </t>
    </r>
    <r>
      <rPr>
        <sz val="10"/>
        <color rgb="FF000000"/>
        <rFont val="Arial"/>
        <charset val="1"/>
      </rPr>
      <t xml:space="preserve">0 </t>
    </r>
    <r>
      <rPr>
        <sz val="10"/>
        <color rgb="FF000000"/>
        <rFont val="나눔고딕"/>
        <family val="2"/>
      </rPr>
      <t>인 시뮬레이션</t>
    </r>
  </si>
  <si>
    <t>1. POST /api/simulate {orders:{}}</t>
  </si>
  <si>
    <r>
      <rPr>
        <sz val="10"/>
        <color rgb="FF000000"/>
        <rFont val="Arial"/>
        <charset val="1"/>
      </rPr>
      <t>400, {error:'</t>
    </r>
    <r>
      <rPr>
        <sz val="10"/>
        <color rgb="FF000000"/>
        <rFont val="나눔고딕"/>
        <family val="2"/>
      </rPr>
      <t xml:space="preserve">총 생산 필요 수는 </t>
    </r>
    <r>
      <rPr>
        <sz val="10"/>
        <color rgb="FF000000"/>
        <rFont val="Arial"/>
        <charset val="1"/>
      </rPr>
      <t xml:space="preserve">1K </t>
    </r>
    <r>
      <rPr>
        <sz val="10"/>
        <color rgb="FF000000"/>
        <rFont val="나눔고딕"/>
        <family val="2"/>
      </rPr>
      <t>이상이어야 합니다</t>
    </r>
    <r>
      <rPr>
        <sz val="10"/>
        <color rgb="FF000000"/>
        <rFont val="Arial"/>
        <charset val="1"/>
      </rPr>
      <t>', conflict:false}</t>
    </r>
  </si>
  <si>
    <t>page.request.post</t>
  </si>
  <si>
    <t>API-03</t>
  </si>
  <si>
    <t>음수 수량</t>
  </si>
  <si>
    <t>1. POST /api/simulate {orders:{CHINA:-1}}</t>
  </si>
  <si>
    <r>
      <rPr>
        <sz val="10"/>
        <color rgb="FF000000"/>
        <rFont val="Arial"/>
        <charset val="1"/>
      </rPr>
      <t>400, '</t>
    </r>
    <r>
      <rPr>
        <sz val="10"/>
        <color rgb="FF000000"/>
        <rFont val="나눔고딕"/>
        <family val="2"/>
      </rPr>
      <t xml:space="preserve">중국 주문 수량은 </t>
    </r>
    <r>
      <rPr>
        <sz val="10"/>
        <color rgb="FF000000"/>
        <rFont val="Arial"/>
        <charset val="1"/>
      </rPr>
      <t xml:space="preserve">0 </t>
    </r>
    <r>
      <rPr>
        <sz val="10"/>
        <color rgb="FF000000"/>
        <rFont val="나눔고딕"/>
        <family val="2"/>
      </rPr>
      <t>이상이어야 합니다</t>
    </r>
    <r>
      <rPr>
        <sz val="10"/>
        <color rgb="FF000000"/>
        <rFont val="Arial"/>
        <charset val="1"/>
      </rPr>
      <t>'</t>
    </r>
  </si>
  <si>
    <t>API-04</t>
  </si>
  <si>
    <r>
      <rPr>
        <sz val="10"/>
        <color rgb="FF000000"/>
        <rFont val="나눔고딕"/>
        <family val="2"/>
      </rPr>
      <t xml:space="preserve">잘못된 </t>
    </r>
    <r>
      <rPr>
        <sz val="10"/>
        <color rgb="FF000000"/>
        <rFont val="Arial"/>
        <charset val="1"/>
      </rPr>
      <t xml:space="preserve">routeType </t>
    </r>
    <r>
      <rPr>
        <sz val="10"/>
        <color rgb="FF000000"/>
        <rFont val="나눔고딕"/>
        <family val="2"/>
      </rPr>
      <t>으로 확정</t>
    </r>
  </si>
  <si>
    <r>
      <rPr>
        <sz val="10"/>
        <color rgb="FF000000"/>
        <rFont val="Arial"/>
        <charset val="1"/>
      </rPr>
      <t>1. POST /api/orders {orders, routeType:'XXX', masterVersion:</t>
    </r>
    <r>
      <rPr>
        <sz val="10"/>
        <color rgb="FF000000"/>
        <rFont val="나눔고딕"/>
        <family val="2"/>
      </rPr>
      <t>현재값</t>
    </r>
    <r>
      <rPr>
        <sz val="10"/>
        <color rgb="FF000000"/>
        <rFont val="Arial"/>
        <charset val="1"/>
      </rPr>
      <t>}</t>
    </r>
  </si>
  <si>
    <r>
      <rPr>
        <sz val="10"/>
        <color rgb="FF000000"/>
        <rFont val="Arial"/>
        <charset val="1"/>
      </rPr>
      <t>400, '</t>
    </r>
    <r>
      <rPr>
        <sz val="10"/>
        <color rgb="FF000000"/>
        <rFont val="나눔고딕"/>
        <family val="2"/>
      </rPr>
      <t>선택한 경로를 찾을 수 없습니다</t>
    </r>
    <r>
      <rPr>
        <sz val="10"/>
        <color rgb="FF000000"/>
        <rFont val="Arial"/>
        <charset val="1"/>
      </rPr>
      <t xml:space="preserve">'. </t>
    </r>
    <r>
      <rPr>
        <sz val="10"/>
        <color rgb="FF000000"/>
        <rFont val="나눔고딕"/>
        <family val="2"/>
      </rPr>
      <t>주문 미생성</t>
    </r>
  </si>
  <si>
    <t>API-05</t>
  </si>
  <si>
    <r>
      <rPr>
        <sz val="10"/>
        <color rgb="FF000000"/>
        <rFont val="나눔고딕"/>
        <family val="2"/>
      </rPr>
      <t xml:space="preserve">오래된 </t>
    </r>
    <r>
      <rPr>
        <sz val="10"/>
        <color rgb="FF000000"/>
        <rFont val="Arial"/>
        <charset val="1"/>
      </rPr>
      <t xml:space="preserve">masterVersion </t>
    </r>
    <r>
      <rPr>
        <sz val="10"/>
        <color rgb="FF000000"/>
        <rFont val="나눔고딕"/>
        <family val="2"/>
      </rPr>
      <t>으로 확정</t>
    </r>
  </si>
  <si>
    <r>
      <rPr>
        <sz val="10"/>
        <color rgb="FF000000"/>
        <rFont val="Arial"/>
        <charset val="1"/>
      </rPr>
      <t xml:space="preserve">1. POST /api/orders {masterVersion: </t>
    </r>
    <r>
      <rPr>
        <sz val="10"/>
        <color rgb="FF000000"/>
        <rFont val="나눔고딕"/>
        <family val="2"/>
      </rPr>
      <t xml:space="preserve">현재값 </t>
    </r>
    <r>
      <rPr>
        <sz val="10"/>
        <color rgb="FF000000"/>
        <rFont val="Arial"/>
        <charset val="1"/>
      </rPr>
      <t>- 1 (</t>
    </r>
    <r>
      <rPr>
        <sz val="10"/>
        <color rgb="FF000000"/>
        <rFont val="나눔고딕"/>
        <family val="2"/>
      </rPr>
      <t xml:space="preserve">또는 </t>
    </r>
    <r>
      <rPr>
        <sz val="10"/>
        <color rgb="FF000000"/>
        <rFont val="Arial"/>
        <charset val="1"/>
      </rPr>
      <t>0)}</t>
    </r>
  </si>
  <si>
    <r>
      <rPr>
        <sz val="10"/>
        <color rgb="FF000000"/>
        <rFont val="Arial"/>
        <charset val="1"/>
      </rPr>
      <t>409, conflict:true, '</t>
    </r>
    <r>
      <rPr>
        <sz val="10"/>
        <color rgb="FF000000"/>
        <rFont val="나눔고딕"/>
        <family val="2"/>
      </rPr>
      <t>시뮬레이션 이후 마스터 데이터가 바뀌었습니다</t>
    </r>
    <r>
      <rPr>
        <sz val="10"/>
        <color rgb="FF000000"/>
        <rFont val="Arial"/>
        <charset val="1"/>
      </rPr>
      <t>...'</t>
    </r>
  </si>
  <si>
    <t>API-06</t>
  </si>
  <si>
    <r>
      <rPr>
        <sz val="10"/>
        <color rgb="FF000000"/>
        <rFont val="나눔고딕"/>
        <family val="2"/>
      </rPr>
      <t xml:space="preserve">메모 </t>
    </r>
    <r>
      <rPr>
        <sz val="10"/>
        <color rgb="FF000000"/>
        <rFont val="Arial"/>
        <charset val="1"/>
      </rPr>
      <t>1000</t>
    </r>
    <r>
      <rPr>
        <sz val="10"/>
        <color rgb="FF000000"/>
        <rFont val="나눔고딕"/>
        <family val="2"/>
      </rPr>
      <t>자 초과 확정</t>
    </r>
  </si>
  <si>
    <r>
      <rPr>
        <sz val="10"/>
        <color rgb="FF000000"/>
        <rFont val="Arial"/>
        <charset val="1"/>
      </rPr>
      <t>1. POST /api/orders memo=1001</t>
    </r>
    <r>
      <rPr>
        <sz val="10"/>
        <color rgb="FF000000"/>
        <rFont val="나눔고딕"/>
        <family val="2"/>
      </rPr>
      <t>자</t>
    </r>
  </si>
  <si>
    <r>
      <rPr>
        <sz val="10"/>
        <color rgb="FF000000"/>
        <rFont val="Arial"/>
        <charset val="1"/>
      </rPr>
      <t>400, '</t>
    </r>
    <r>
      <rPr>
        <sz val="10"/>
        <color rgb="FF000000"/>
        <rFont val="나눔고딕"/>
        <family val="2"/>
      </rPr>
      <t xml:space="preserve">메모는 </t>
    </r>
    <r>
      <rPr>
        <sz val="10"/>
        <color rgb="FF000000"/>
        <rFont val="Arial"/>
        <charset val="1"/>
      </rPr>
      <t>1000</t>
    </r>
    <r>
      <rPr>
        <sz val="10"/>
        <color rgb="FF000000"/>
        <rFont val="나눔고딕"/>
        <family val="2"/>
      </rPr>
      <t>자 이하로 입력하세요</t>
    </r>
    <r>
      <rPr>
        <sz val="10"/>
        <color rgb="FF000000"/>
        <rFont val="Arial"/>
        <charset val="1"/>
      </rPr>
      <t xml:space="preserve">'. </t>
    </r>
    <r>
      <rPr>
        <sz val="10"/>
        <color rgb="FF000000"/>
        <rFont val="나눔고딕"/>
        <family val="2"/>
      </rPr>
      <t>주문 미생성</t>
    </r>
  </si>
  <si>
    <t>API-07</t>
  </si>
  <si>
    <t>알 수 없는 국가 키</t>
  </si>
  <si>
    <t>1. POST /api/simulate {orders:{MARS:100}}</t>
  </si>
  <si>
    <r>
      <rPr>
        <sz val="10"/>
        <color rgb="FF000000"/>
        <rFont val="Arial"/>
        <charset val="1"/>
      </rPr>
      <t xml:space="preserve">4xx </t>
    </r>
    <r>
      <rPr>
        <sz val="10"/>
        <color rgb="FF000000"/>
        <rFont val="나눔고딕"/>
        <family val="2"/>
      </rPr>
      <t>응답</t>
    </r>
    <r>
      <rPr>
        <sz val="10"/>
        <color rgb="FF000000"/>
        <rFont val="Arial"/>
        <charset val="1"/>
      </rPr>
      <t xml:space="preserve">(JSON </t>
    </r>
    <r>
      <rPr>
        <sz val="10"/>
        <color rgb="FF000000"/>
        <rFont val="나눔고딕"/>
        <family val="2"/>
      </rPr>
      <t>변환 오류</t>
    </r>
    <r>
      <rPr>
        <sz val="10"/>
        <color rgb="FF000000"/>
        <rFont val="Arial"/>
        <charset val="1"/>
      </rPr>
      <t xml:space="preserve">). </t>
    </r>
    <r>
      <rPr>
        <sz val="10"/>
        <color rgb="FF000000"/>
        <rFont val="나눔고딕"/>
        <family val="2"/>
      </rPr>
      <t>서버 오류</t>
    </r>
    <r>
      <rPr>
        <sz val="10"/>
        <color rgb="FF000000"/>
        <rFont val="Arial"/>
        <charset val="1"/>
      </rPr>
      <t>(5xx)</t>
    </r>
    <r>
      <rPr>
        <sz val="10"/>
        <color rgb="FF000000"/>
        <rFont val="나눔고딕"/>
        <family val="2"/>
      </rPr>
      <t>가 아니어야 함</t>
    </r>
  </si>
  <si>
    <t>현재 동작 미확인 → 탐색적 확인</t>
  </si>
  <si>
    <t>FLOW-01</t>
  </si>
  <si>
    <t>종합 흐름</t>
  </si>
  <si>
    <r>
      <rPr>
        <sz val="10"/>
        <color rgb="FF000000"/>
        <rFont val="나눔고딕"/>
        <family val="2"/>
      </rPr>
      <t>해피패스</t>
    </r>
    <r>
      <rPr>
        <sz val="10"/>
        <color rgb="FF000000"/>
        <rFont val="Arial"/>
        <charset val="1"/>
      </rPr>
      <t xml:space="preserve">: </t>
    </r>
    <r>
      <rPr>
        <sz val="10"/>
        <color rgb="FF000000"/>
        <rFont val="나눔고딕"/>
        <family val="2"/>
      </rPr>
      <t>로그인부터 완료까지</t>
    </r>
  </si>
  <si>
    <t>마스터 기본 상태</t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</si>
  <si>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로그인
</t>
    </r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 xml:space="preserve">주문 추가 → 시뮬레이션 →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가장 빠르게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 xml:space="preserve">선택 → 메모 → 확정
</t>
    </r>
    <r>
      <rPr>
        <sz val="10"/>
        <color rgb="FF000000"/>
        <rFont val="Arial"/>
        <charset val="1"/>
      </rPr>
      <t xml:space="preserve">3. </t>
    </r>
    <r>
      <rPr>
        <sz val="10"/>
        <color rgb="FF000000"/>
        <rFont val="나눔고딕"/>
        <family val="2"/>
      </rPr>
      <t xml:space="preserve">상세에서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진행</t>
    </r>
    <r>
      <rPr>
        <sz val="10"/>
        <color rgb="FF000000"/>
        <rFont val="Arial"/>
        <charset val="1"/>
      </rPr>
      <t>' → '</t>
    </r>
    <r>
      <rPr>
        <sz val="10"/>
        <color rgb="FF000000"/>
        <rFont val="나눔고딕"/>
        <family val="2"/>
      </rPr>
      <t>완료</t>
    </r>
    <r>
      <rPr>
        <sz val="10"/>
        <color rgb="FF000000"/>
        <rFont val="Arial"/>
        <charset val="1"/>
      </rPr>
      <t xml:space="preserve">'
4. </t>
    </r>
    <r>
      <rPr>
        <sz val="10"/>
        <color rgb="FF000000"/>
        <rFont val="나눔고딕"/>
        <family val="2"/>
      </rPr>
      <t xml:space="preserve">목록에서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완료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 xml:space="preserve">칩 필터
</t>
    </r>
    <r>
      <rPr>
        <sz val="10"/>
        <color rgb="FF000000"/>
        <rFont val="Arial"/>
        <charset val="1"/>
      </rPr>
      <t xml:space="preserve">5. </t>
    </r>
    <r>
      <rPr>
        <sz val="10"/>
        <color rgb="FF000000"/>
        <rFont val="나눔고딕"/>
        <family val="2"/>
      </rPr>
      <t>로그아웃</t>
    </r>
  </si>
  <si>
    <r>
      <rPr>
        <sz val="10"/>
        <color rgb="FF000000"/>
        <rFont val="나눔고딕"/>
        <family val="2"/>
      </rPr>
      <t>각 단계에서 기대 메시지</t>
    </r>
    <r>
      <rPr>
        <sz val="10"/>
        <color rgb="FF000000"/>
        <rFont val="Arial"/>
        <charset val="1"/>
      </rPr>
      <t>/</t>
    </r>
    <r>
      <rPr>
        <sz val="10"/>
        <color rgb="FF000000"/>
        <rFont val="나눔고딕"/>
        <family val="2"/>
      </rPr>
      <t xml:space="preserve">배지가 나오고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완료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필터에 해당 주문이 보인다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로그아웃 후 보호된 화면 접근 불가</t>
    </r>
  </si>
  <si>
    <t>FR-1 ~ FR-14</t>
  </si>
  <si>
    <t>전체 화면</t>
  </si>
  <si>
    <t>FLOW-02</t>
  </si>
  <si>
    <t>마스터 변경 → 시뮬레이션 → 확정 → 원복 → 기존 주문 불변</t>
  </si>
  <si>
    <r>
      <rPr>
        <sz val="10"/>
        <color rgb="FF000000"/>
        <rFont val="Arial"/>
        <charset val="1"/>
      </rPr>
      <t xml:space="preserve">1. </t>
    </r>
    <r>
      <rPr>
        <sz val="10"/>
        <color rgb="FF000000"/>
        <rFont val="나눔고딕"/>
        <family val="2"/>
      </rPr>
      <t xml:space="preserve">배 척수 </t>
    </r>
    <r>
      <rPr>
        <sz val="10"/>
        <color rgb="FF000000"/>
        <rFont val="Arial"/>
        <charset val="1"/>
      </rPr>
      <t xml:space="preserve">2 </t>
    </r>
    <r>
      <rPr>
        <sz val="10"/>
        <color rgb="FF000000"/>
        <rFont val="나눔고딕"/>
        <family val="2"/>
      </rPr>
      <t xml:space="preserve">로 저장
</t>
    </r>
    <r>
      <rPr>
        <sz val="10"/>
        <color rgb="FF000000"/>
        <rFont val="Arial"/>
        <charset val="1"/>
      </rPr>
      <t xml:space="preserve">2. </t>
    </r>
    <r>
      <rPr>
        <sz val="10"/>
        <color rgb="FF000000"/>
        <rFont val="나눔고딕"/>
        <family val="2"/>
      </rPr>
      <t>시뮬레이션 후 확정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배 </t>
    </r>
    <r>
      <rPr>
        <sz val="10"/>
        <color rgb="FF000000"/>
        <rFont val="Arial"/>
        <charset val="1"/>
      </rPr>
      <t>2</t>
    </r>
    <r>
      <rPr>
        <sz val="10"/>
        <color rgb="FF000000"/>
        <rFont val="나눔고딕"/>
        <family val="2"/>
      </rPr>
      <t>척 이하 계획</t>
    </r>
    <r>
      <rPr>
        <sz val="10"/>
        <color rgb="FF000000"/>
        <rFont val="Arial"/>
        <charset val="1"/>
      </rPr>
      <t xml:space="preserve">)
3. </t>
    </r>
    <r>
      <rPr>
        <sz val="10"/>
        <color rgb="FF000000"/>
        <rFont val="나눔고딕"/>
        <family val="2"/>
      </rPr>
      <t xml:space="preserve">마스터를 </t>
    </r>
    <r>
      <rPr>
        <sz val="10"/>
        <color rgb="FF000000"/>
        <rFont val="Arial"/>
        <charset val="1"/>
      </rPr>
      <t>3</t>
    </r>
    <r>
      <rPr>
        <sz val="10"/>
        <color rgb="FF000000"/>
        <rFont val="나눔고딕"/>
        <family val="2"/>
      </rPr>
      <t xml:space="preserve">척으로 원복
</t>
    </r>
    <r>
      <rPr>
        <sz val="10"/>
        <color rgb="FF000000"/>
        <rFont val="Arial"/>
        <charset val="1"/>
      </rPr>
      <t xml:space="preserve">4. </t>
    </r>
    <r>
      <rPr>
        <sz val="10"/>
        <color rgb="FF000000"/>
        <rFont val="나눔고딕"/>
        <family val="2"/>
      </rPr>
      <t>확정 주문 상세 확인</t>
    </r>
  </si>
  <si>
    <r>
      <rPr>
        <sz val="10"/>
        <color rgb="FF000000"/>
        <rFont val="나눔고딕"/>
        <family val="2"/>
      </rPr>
      <t>상세 계획의 배 척수는 확정 당시 값</t>
    </r>
    <r>
      <rPr>
        <sz val="10"/>
        <color rgb="FF000000"/>
        <rFont val="Arial"/>
        <charset val="1"/>
      </rPr>
      <t>(2</t>
    </r>
    <r>
      <rPr>
        <sz val="10"/>
        <color rgb="FF000000"/>
        <rFont val="나눔고딕"/>
        <family val="2"/>
      </rPr>
      <t>척 이하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을 유지한다</t>
    </r>
  </si>
  <si>
    <t>FR-10, FR-11, FR-17</t>
  </si>
  <si>
    <t>master → order-new → order-detail</t>
  </si>
  <si>
    <t>시나리오 요약</t>
  </si>
  <si>
    <r>
      <rPr>
        <i/>
        <sz val="10"/>
        <color rgb="FF595959"/>
        <rFont val="나눔고딕"/>
        <family val="2"/>
      </rPr>
      <t xml:space="preserve">모든 수치는 </t>
    </r>
    <r>
      <rPr>
        <i/>
        <sz val="10"/>
        <color rgb="FF595959"/>
        <rFont val="Arial"/>
        <charset val="1"/>
      </rPr>
      <t>'</t>
    </r>
    <r>
      <rPr>
        <i/>
        <sz val="10"/>
        <color rgb="FF595959"/>
        <rFont val="나눔고딕"/>
        <family val="2"/>
      </rPr>
      <t>시나리오</t>
    </r>
    <r>
      <rPr>
        <i/>
        <sz val="10"/>
        <color rgb="FF595959"/>
        <rFont val="Arial"/>
        <charset val="1"/>
      </rPr>
      <t xml:space="preserve">' </t>
    </r>
    <r>
      <rPr>
        <i/>
        <sz val="10"/>
        <color rgb="FF595959"/>
        <rFont val="나눔고딕"/>
        <family val="2"/>
      </rPr>
      <t>시트에서 수식으로 집계됩니다</t>
    </r>
    <r>
      <rPr>
        <i/>
        <sz val="10"/>
        <color rgb="FF595959"/>
        <rFont val="Arial"/>
        <charset val="1"/>
      </rPr>
      <t>.</t>
    </r>
  </si>
  <si>
    <t>합계</t>
  </si>
  <si>
    <t>구현 완료</t>
  </si>
  <si>
    <t>구현율</t>
  </si>
  <si>
    <t>담당자 미배정</t>
  </si>
  <si>
    <r>
      <rPr>
        <b/>
        <sz val="12"/>
        <color rgb="FF000000"/>
        <rFont val="나눔고딕"/>
        <family val="2"/>
      </rPr>
      <t xml:space="preserve">유형별 </t>
    </r>
    <r>
      <rPr>
        <b/>
        <sz val="12"/>
        <color rgb="FF000000"/>
        <rFont val="Arial"/>
        <charset val="1"/>
      </rPr>
      <t xml:space="preserve">/ DB </t>
    </r>
    <r>
      <rPr>
        <b/>
        <sz val="12"/>
        <color rgb="FF000000"/>
        <rFont val="나눔고딕"/>
        <family val="2"/>
      </rPr>
      <t>변경</t>
    </r>
  </si>
  <si>
    <t>구분</t>
  </si>
  <si>
    <t>건수</t>
  </si>
  <si>
    <r>
      <rPr>
        <sz val="10"/>
        <color rgb="FF000000"/>
        <rFont val="Arial"/>
        <charset val="1"/>
      </rPr>
      <t xml:space="preserve">DB </t>
    </r>
    <r>
      <rPr>
        <sz val="10"/>
        <color rgb="FF000000"/>
        <rFont val="나눔고딕"/>
        <family val="2"/>
      </rPr>
      <t>변경 있음</t>
    </r>
    <r>
      <rPr>
        <sz val="10"/>
        <color rgb="FF000000"/>
        <rFont val="Arial"/>
        <charset val="1"/>
      </rPr>
      <t>(Y)</t>
    </r>
  </si>
  <si>
    <r>
      <rPr>
        <sz val="10"/>
        <color rgb="FF000000"/>
        <rFont val="Arial"/>
        <charset val="1"/>
      </rPr>
      <t xml:space="preserve">DB </t>
    </r>
    <r>
      <rPr>
        <sz val="10"/>
        <color rgb="FF000000"/>
        <rFont val="나눔고딕"/>
        <family val="2"/>
      </rPr>
      <t>변경 없음</t>
    </r>
    <r>
      <rPr>
        <sz val="10"/>
        <color rgb="FF000000"/>
        <rFont val="Arial"/>
        <charset val="1"/>
      </rPr>
      <t>(N)</t>
    </r>
  </si>
  <si>
    <r>
      <rPr>
        <i/>
        <sz val="10"/>
        <color rgb="FF595959"/>
        <rFont val="Arial"/>
        <charset val="1"/>
      </rPr>
      <t xml:space="preserve">※ 'DB </t>
    </r>
    <r>
      <rPr>
        <i/>
        <sz val="10"/>
        <color rgb="FF595959"/>
        <rFont val="나눔고딕"/>
        <family val="2"/>
      </rPr>
      <t>변경 있음</t>
    </r>
    <r>
      <rPr>
        <i/>
        <sz val="10"/>
        <color rgb="FF595959"/>
        <rFont val="Arial"/>
        <charset val="1"/>
      </rPr>
      <t xml:space="preserve">' </t>
    </r>
    <r>
      <rPr>
        <i/>
        <sz val="10"/>
        <color rgb="FF595959"/>
        <rFont val="나눔고딕"/>
        <family val="2"/>
      </rPr>
      <t>시나리오는 실행할 때마다 서버의 실제 데이터</t>
    </r>
    <r>
      <rPr>
        <i/>
        <sz val="10"/>
        <color rgb="FF595959"/>
        <rFont val="Arial"/>
        <charset val="1"/>
      </rPr>
      <t>(</t>
    </r>
    <r>
      <rPr>
        <i/>
        <sz val="10"/>
        <color rgb="FF595959"/>
        <rFont val="나눔고딕"/>
        <family val="2"/>
      </rPr>
      <t>주문</t>
    </r>
    <r>
      <rPr>
        <i/>
        <sz val="10"/>
        <color rgb="FF595959"/>
        <rFont val="Arial"/>
        <charset val="1"/>
      </rPr>
      <t xml:space="preserve">, </t>
    </r>
    <r>
      <rPr>
        <i/>
        <sz val="10"/>
        <color rgb="FF595959"/>
        <rFont val="나눔고딕"/>
        <family val="2"/>
      </rPr>
      <t>마스터 버전</t>
    </r>
    <r>
      <rPr>
        <i/>
        <sz val="10"/>
        <color rgb="FF595959"/>
        <rFont val="Arial"/>
        <charset val="1"/>
      </rPr>
      <t>)</t>
    </r>
    <r>
      <rPr>
        <i/>
        <sz val="10"/>
        <color rgb="FF595959"/>
        <rFont val="나눔고딕"/>
        <family val="2"/>
      </rPr>
      <t>가 바뀝니다</t>
    </r>
    <r>
      <rPr>
        <i/>
        <sz val="10"/>
        <color rgb="FF595959"/>
        <rFont val="Arial"/>
        <charset val="1"/>
      </rPr>
      <t>. '</t>
    </r>
    <r>
      <rPr>
        <i/>
        <sz val="10"/>
        <color rgb="FF595959"/>
        <rFont val="나눔고딕"/>
        <family val="2"/>
      </rPr>
      <t>확인 필요 사항</t>
    </r>
    <r>
      <rPr>
        <i/>
        <sz val="10"/>
        <color rgb="FF595959"/>
        <rFont val="Arial"/>
        <charset val="1"/>
      </rPr>
      <t xml:space="preserve">' #5 </t>
    </r>
    <r>
      <rPr>
        <i/>
        <sz val="10"/>
        <color rgb="FF595959"/>
        <rFont val="나눔고딕"/>
        <family val="2"/>
      </rPr>
      <t>참고</t>
    </r>
    <r>
      <rPr>
        <i/>
        <sz val="10"/>
        <color rgb="FF595959"/>
        <rFont val="Arial"/>
        <charset val="1"/>
      </rPr>
      <t>.</t>
    </r>
  </si>
  <si>
    <t>통합 현황</t>
  </si>
  <si>
    <t>항목</t>
  </si>
  <si>
    <r>
      <rPr>
        <sz val="10"/>
        <color rgb="FF000000"/>
        <rFont val="나눔고딕"/>
        <family val="2"/>
      </rPr>
      <t xml:space="preserve">초안 </t>
    </r>
    <r>
      <rPr>
        <sz val="10"/>
        <color rgb="FF000000"/>
        <rFont val="Arial"/>
        <charset val="1"/>
      </rPr>
      <t xml:space="preserve">A </t>
    </r>
    <r>
      <rPr>
        <sz val="10"/>
        <color rgb="FF000000"/>
        <rFont val="나눔고딕"/>
        <family val="2"/>
      </rPr>
      <t>시나리오</t>
    </r>
  </si>
  <si>
    <r>
      <rPr>
        <sz val="10"/>
        <color rgb="FF000000"/>
        <rFont val="나눔고딕"/>
        <family val="2"/>
      </rPr>
      <t xml:space="preserve">초안 </t>
    </r>
    <r>
      <rPr>
        <sz val="10"/>
        <color rgb="FF000000"/>
        <rFont val="Arial"/>
        <charset val="1"/>
      </rPr>
      <t xml:space="preserve">B </t>
    </r>
    <r>
      <rPr>
        <sz val="10"/>
        <color rgb="FF000000"/>
        <rFont val="나눔고딕"/>
        <family val="2"/>
      </rPr>
      <t>시나리오</t>
    </r>
  </si>
  <si>
    <r>
      <rPr>
        <sz val="10"/>
        <color rgb="FF000000"/>
        <rFont val="나눔고딕"/>
        <family val="2"/>
      </rPr>
      <t xml:space="preserve">초안 </t>
    </r>
    <r>
      <rPr>
        <sz val="10"/>
        <color rgb="FF000000"/>
        <rFont val="Arial"/>
        <charset val="1"/>
      </rPr>
      <t xml:space="preserve">C </t>
    </r>
    <r>
      <rPr>
        <sz val="10"/>
        <color rgb="FF000000"/>
        <rFont val="나눔고딕"/>
        <family val="2"/>
      </rPr>
      <t>시나리오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흐름형</t>
    </r>
    <r>
      <rPr>
        <sz val="10"/>
        <color rgb="FF000000"/>
        <rFont val="Arial"/>
        <charset val="1"/>
      </rPr>
      <t>)</t>
    </r>
  </si>
  <si>
    <t>통합 시나리오 수</t>
  </si>
  <si>
    <t>그중 신규로 추가한 시나리오</t>
  </si>
  <si>
    <r>
      <rPr>
        <i/>
        <sz val="10"/>
        <color rgb="FF595959"/>
        <rFont val="나눔고딕"/>
        <family val="2"/>
      </rPr>
      <t>초안 건수</t>
    </r>
    <r>
      <rPr>
        <i/>
        <sz val="10"/>
        <color rgb="FF595959"/>
        <rFont val="Arial"/>
        <charset val="1"/>
      </rPr>
      <t>(</t>
    </r>
    <r>
      <rPr>
        <i/>
        <sz val="10"/>
        <color rgb="FF595959"/>
        <rFont val="나눔고딕"/>
        <family val="2"/>
      </rPr>
      <t>파란색</t>
    </r>
    <r>
      <rPr>
        <i/>
        <sz val="10"/>
        <color rgb="FF595959"/>
        <rFont val="Arial"/>
        <charset val="1"/>
      </rPr>
      <t>)</t>
    </r>
    <r>
      <rPr>
        <i/>
        <sz val="10"/>
        <color rgb="FF595959"/>
        <rFont val="나눔고딕"/>
        <family val="2"/>
      </rPr>
      <t>는 각 초안 파일에서 센 값입니다</t>
    </r>
    <r>
      <rPr>
        <i/>
        <sz val="10"/>
        <color rgb="FF595959"/>
        <rFont val="Arial"/>
        <charset val="1"/>
      </rPr>
      <t>.</t>
    </r>
  </si>
  <si>
    <t>테스트 데이터</t>
  </si>
  <si>
    <r>
      <rPr>
        <i/>
        <sz val="10"/>
        <color rgb="FF595959"/>
        <rFont val="나눔고딕"/>
        <family val="2"/>
      </rPr>
      <t>출처</t>
    </r>
    <r>
      <rPr>
        <i/>
        <sz val="10"/>
        <color rgb="FF595959"/>
        <rFont val="Arial"/>
        <charset val="1"/>
      </rPr>
      <t xml:space="preserve">: </t>
    </r>
    <r>
      <rPr>
        <i/>
        <sz val="10"/>
        <color rgb="FF595959"/>
        <rFont val="나눔고딕"/>
        <family val="2"/>
      </rPr>
      <t>앱 시작 시 들어가는 기본 마스터 값</t>
    </r>
    <r>
      <rPr>
        <i/>
        <sz val="10"/>
        <color rgb="FF595959"/>
        <rFont val="Arial"/>
        <charset val="1"/>
      </rPr>
      <t xml:space="preserve">(BatteryService.initDefaults) · </t>
    </r>
    <r>
      <rPr>
        <i/>
        <sz val="10"/>
        <color rgb="FF595959"/>
        <rFont val="나눔고딕"/>
        <family val="2"/>
      </rPr>
      <t xml:space="preserve">노란색 칸은 직접 바꿔 볼 수 있는 입력값 </t>
    </r>
    <r>
      <rPr>
        <i/>
        <sz val="10"/>
        <color rgb="FF595959"/>
        <rFont val="Arial"/>
        <charset val="1"/>
      </rPr>
      <t xml:space="preserve">· </t>
    </r>
    <r>
      <rPr>
        <i/>
        <sz val="10"/>
        <color rgb="FF595959"/>
        <rFont val="나눔고딕"/>
        <family val="2"/>
      </rPr>
      <t>파란 글자는 하드코딩 입력값</t>
    </r>
    <r>
      <rPr>
        <i/>
        <sz val="10"/>
        <color rgb="FF595959"/>
        <rFont val="Arial"/>
        <charset val="1"/>
      </rPr>
      <t xml:space="preserve">, </t>
    </r>
    <r>
      <rPr>
        <i/>
        <sz val="10"/>
        <color rgb="FF595959"/>
        <rFont val="나눔고딕"/>
        <family val="2"/>
      </rPr>
      <t>검정은 수식</t>
    </r>
  </si>
  <si>
    <r>
      <rPr>
        <b/>
        <sz val="11"/>
        <color rgb="FF1F4E78"/>
        <rFont val="Arial"/>
        <charset val="1"/>
      </rPr>
      <t xml:space="preserve">1. </t>
    </r>
    <r>
      <rPr>
        <b/>
        <sz val="11"/>
        <color rgb="FF1F4E78"/>
        <rFont val="나눔고딕"/>
        <family val="2"/>
      </rPr>
      <t>공장 기본값과 기본 주문</t>
    </r>
    <r>
      <rPr>
        <b/>
        <sz val="11"/>
        <color rgb="FF1F4E78"/>
        <rFont val="Arial"/>
        <charset val="1"/>
      </rPr>
      <t xml:space="preserve">(12,000K </t>
    </r>
    <r>
      <rPr>
        <b/>
        <sz val="11"/>
        <color rgb="FF1F4E78"/>
        <rFont val="나눔고딕"/>
        <family val="2"/>
      </rPr>
      <t>균등 분배</t>
    </r>
    <r>
      <rPr>
        <b/>
        <sz val="11"/>
        <color rgb="FF1F4E78"/>
        <rFont val="Arial"/>
        <charset val="1"/>
      </rPr>
      <t>)</t>
    </r>
    <r>
      <rPr>
        <b/>
        <sz val="11"/>
        <color rgb="FF1F4E78"/>
        <rFont val="나눔고딕"/>
        <family val="2"/>
      </rPr>
      <t>의 예상 결과</t>
    </r>
  </si>
  <si>
    <t>나라</t>
  </si>
  <si>
    <r>
      <rPr>
        <b/>
        <sz val="10"/>
        <color rgb="FFFFFFFF"/>
        <rFont val="나눔고딕"/>
        <family val="2"/>
      </rPr>
      <t>하루 최대 생산</t>
    </r>
    <r>
      <rPr>
        <b/>
        <sz val="10"/>
        <color rgb="FFFFFFFF"/>
        <rFont val="Arial"/>
        <charset val="1"/>
      </rPr>
      <t>(K)</t>
    </r>
  </si>
  <si>
    <r>
      <rPr>
        <b/>
        <sz val="10"/>
        <color rgb="FFFFFFFF"/>
        <rFont val="나눔고딕"/>
        <family val="2"/>
      </rPr>
      <t>재고 상한</t>
    </r>
    <r>
      <rPr>
        <b/>
        <sz val="10"/>
        <color rgb="FFFFFFFF"/>
        <rFont val="Arial"/>
        <charset val="1"/>
      </rPr>
      <t>(K)</t>
    </r>
  </si>
  <si>
    <r>
      <rPr>
        <b/>
        <sz val="10"/>
        <color rgb="FFFFFFFF"/>
        <rFont val="나눔고딕"/>
        <family val="2"/>
      </rPr>
      <t>셀당 원가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나눔고딕"/>
        <family val="2"/>
      </rPr>
      <t>원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</si>
  <si>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나눔고딕"/>
        <family val="2"/>
      </rPr>
      <t>주문 수량</t>
    </r>
    <r>
      <rPr>
        <b/>
        <sz val="10"/>
        <color rgb="FFFFFFFF"/>
        <rFont val="Arial"/>
        <charset val="1"/>
      </rPr>
      <t>(K)</t>
    </r>
  </si>
  <si>
    <t>예상 방문 횟수</t>
  </si>
  <si>
    <r>
      <rPr>
        <b/>
        <sz val="10"/>
        <color rgb="FFFFFFFF"/>
        <rFont val="나눔고딕"/>
        <family val="2"/>
      </rPr>
      <t>예상 생산비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나눔고딕"/>
        <family val="2"/>
      </rPr>
      <t>억원</t>
    </r>
    <r>
      <rPr>
        <b/>
        <sz val="10"/>
        <color rgb="FFFFFFFF"/>
        <rFont val="Arial"/>
        <charset val="1"/>
      </rPr>
      <t>)</t>
    </r>
  </si>
  <si>
    <t>중국</t>
  </si>
  <si>
    <t>일본</t>
  </si>
  <si>
    <t>베트남</t>
  </si>
  <si>
    <t>인도네시아</t>
  </si>
  <si>
    <r>
      <rPr>
        <i/>
        <sz val="10"/>
        <color rgb="FF595959"/>
        <rFont val="나눔고딕"/>
        <family val="2"/>
      </rPr>
      <t xml:space="preserve">방문 횟수 </t>
    </r>
    <r>
      <rPr>
        <i/>
        <sz val="10"/>
        <color rgb="FF595959"/>
        <rFont val="Arial"/>
        <charset val="1"/>
      </rPr>
      <t xml:space="preserve">= </t>
    </r>
    <r>
      <rPr>
        <i/>
        <sz val="10"/>
        <color rgb="FF595959"/>
        <rFont val="나눔고딕"/>
        <family val="2"/>
      </rPr>
      <t>올림</t>
    </r>
    <r>
      <rPr>
        <i/>
        <sz val="10"/>
        <color rgb="FF595959"/>
        <rFont val="Arial"/>
        <charset val="1"/>
      </rPr>
      <t>(</t>
    </r>
    <r>
      <rPr>
        <i/>
        <sz val="10"/>
        <color rgb="FF595959"/>
        <rFont val="나눔고딕"/>
        <family val="2"/>
      </rPr>
      <t xml:space="preserve">주문 수량 </t>
    </r>
    <r>
      <rPr>
        <i/>
        <sz val="10"/>
        <color rgb="FF595959"/>
        <rFont val="Arial"/>
        <charset val="1"/>
      </rPr>
      <t xml:space="preserve">÷ </t>
    </r>
    <r>
      <rPr>
        <i/>
        <sz val="10"/>
        <color rgb="FF595959"/>
        <rFont val="나눔고딕"/>
        <family val="2"/>
      </rPr>
      <t>재고 상한</t>
    </r>
    <r>
      <rPr>
        <i/>
        <sz val="10"/>
        <color rgb="FF595959"/>
        <rFont val="Arial"/>
        <charset val="1"/>
      </rPr>
      <t xml:space="preserve">), </t>
    </r>
    <r>
      <rPr>
        <i/>
        <sz val="10"/>
        <color rgb="FF595959"/>
        <rFont val="나눔고딕"/>
        <family val="2"/>
      </rPr>
      <t xml:space="preserve">생산비 </t>
    </r>
    <r>
      <rPr>
        <i/>
        <sz val="10"/>
        <color rgb="FF595959"/>
        <rFont val="Arial"/>
        <charset val="1"/>
      </rPr>
      <t xml:space="preserve">= </t>
    </r>
    <r>
      <rPr>
        <i/>
        <sz val="10"/>
        <color rgb="FF595959"/>
        <rFont val="나눔고딕"/>
        <family val="2"/>
      </rPr>
      <t>주문</t>
    </r>
    <r>
      <rPr>
        <i/>
        <sz val="10"/>
        <color rgb="FF595959"/>
        <rFont val="Arial"/>
        <charset val="1"/>
      </rPr>
      <t xml:space="preserve">(K) × 1,000 × </t>
    </r>
    <r>
      <rPr>
        <i/>
        <sz val="10"/>
        <color rgb="FF595959"/>
        <rFont val="나눔고딕"/>
        <family val="2"/>
      </rPr>
      <t xml:space="preserve">셀당 원가 </t>
    </r>
    <r>
      <rPr>
        <i/>
        <sz val="10"/>
        <color rgb="FF595959"/>
        <rFont val="Arial"/>
        <charset val="1"/>
      </rPr>
      <t>÷ 1</t>
    </r>
    <r>
      <rPr>
        <i/>
        <sz val="10"/>
        <color rgb="FF595959"/>
        <rFont val="나눔고딕"/>
        <family val="2"/>
      </rPr>
      <t>억</t>
    </r>
    <r>
      <rPr>
        <i/>
        <sz val="10"/>
        <color rgb="FF595959"/>
        <rFont val="Arial"/>
        <charset val="1"/>
      </rPr>
      <t xml:space="preserve">. SIM-01 </t>
    </r>
    <r>
      <rPr>
        <i/>
        <sz val="10"/>
        <color rgb="FF595959"/>
        <rFont val="나눔고딕"/>
        <family val="2"/>
      </rPr>
      <t>기대값</t>
    </r>
    <r>
      <rPr>
        <i/>
        <sz val="10"/>
        <color rgb="FF595959"/>
        <rFont val="Arial"/>
        <charset val="1"/>
      </rPr>
      <t>(</t>
    </r>
    <r>
      <rPr>
        <i/>
        <sz val="10"/>
        <color rgb="FF595959"/>
        <rFont val="나눔고딕"/>
        <family val="2"/>
      </rPr>
      <t xml:space="preserve">중국 </t>
    </r>
    <r>
      <rPr>
        <i/>
        <sz val="10"/>
        <color rgb="FF595959"/>
        <rFont val="Arial"/>
        <charset val="1"/>
      </rPr>
      <t>1·</t>
    </r>
    <r>
      <rPr>
        <i/>
        <sz val="10"/>
        <color rgb="FF595959"/>
        <rFont val="나눔고딕"/>
        <family val="2"/>
      </rPr>
      <t xml:space="preserve">일본 </t>
    </r>
    <r>
      <rPr>
        <i/>
        <sz val="10"/>
        <color rgb="FF595959"/>
        <rFont val="Arial"/>
        <charset val="1"/>
      </rPr>
      <t>2·</t>
    </r>
    <r>
      <rPr>
        <i/>
        <sz val="10"/>
        <color rgb="FF595959"/>
        <rFont val="나눔고딕"/>
        <family val="2"/>
      </rPr>
      <t xml:space="preserve">베트남 </t>
    </r>
    <r>
      <rPr>
        <i/>
        <sz val="10"/>
        <color rgb="FF595959"/>
        <rFont val="Arial"/>
        <charset val="1"/>
      </rPr>
      <t>1·</t>
    </r>
    <r>
      <rPr>
        <i/>
        <sz val="10"/>
        <color rgb="FF595959"/>
        <rFont val="나눔고딕"/>
        <family val="2"/>
      </rPr>
      <t xml:space="preserve">인도네시아 </t>
    </r>
    <r>
      <rPr>
        <i/>
        <sz val="10"/>
        <color rgb="FF595959"/>
        <rFont val="Arial"/>
        <charset val="1"/>
      </rPr>
      <t xml:space="preserve">1), SIM-20 </t>
    </r>
    <r>
      <rPr>
        <i/>
        <sz val="10"/>
        <color rgb="FF595959"/>
        <rFont val="나눔고딕"/>
        <family val="2"/>
      </rPr>
      <t>기대값</t>
    </r>
    <r>
      <rPr>
        <i/>
        <sz val="10"/>
        <color rgb="FF595959"/>
        <rFont val="Arial"/>
        <charset val="1"/>
      </rPr>
      <t>(78.00</t>
    </r>
    <r>
      <rPr>
        <i/>
        <sz val="10"/>
        <color rgb="FF595959"/>
        <rFont val="나눔고딕"/>
        <family val="2"/>
      </rPr>
      <t>억원</t>
    </r>
    <r>
      <rPr>
        <i/>
        <sz val="10"/>
        <color rgb="FF595959"/>
        <rFont val="Arial"/>
        <charset val="1"/>
      </rPr>
      <t>)</t>
    </r>
    <r>
      <rPr>
        <i/>
        <sz val="10"/>
        <color rgb="FF595959"/>
        <rFont val="나눔고딕"/>
        <family val="2"/>
      </rPr>
      <t>과 같다</t>
    </r>
    <r>
      <rPr>
        <i/>
        <sz val="10"/>
        <color rgb="FF595959"/>
        <rFont val="Arial"/>
        <charset val="1"/>
      </rPr>
      <t>.</t>
    </r>
  </si>
  <si>
    <r>
      <rPr>
        <b/>
        <sz val="11"/>
        <color rgb="FF1F4E78"/>
        <rFont val="Arial"/>
        <charset val="1"/>
      </rPr>
      <t xml:space="preserve">2. </t>
    </r>
    <r>
      <rPr>
        <b/>
        <sz val="11"/>
        <color rgb="FF1F4E78"/>
        <rFont val="나눔고딕"/>
        <family val="2"/>
      </rPr>
      <t>항로 기본값</t>
    </r>
    <r>
      <rPr>
        <b/>
        <sz val="11"/>
        <color rgb="FF1F4E78"/>
        <rFont val="Arial"/>
        <charset val="1"/>
      </rPr>
      <t>(</t>
    </r>
    <r>
      <rPr>
        <b/>
        <sz val="11"/>
        <color rgb="FF1F4E78"/>
        <rFont val="나눔고딕"/>
        <family val="2"/>
      </rPr>
      <t>항해 일수</t>
    </r>
    <r>
      <rPr>
        <b/>
        <sz val="11"/>
        <color rgb="FF1F4E78"/>
        <rFont val="Arial"/>
        <charset val="1"/>
      </rPr>
      <t xml:space="preserve">, </t>
    </r>
    <r>
      <rPr>
        <b/>
        <sz val="11"/>
        <color rgb="FF1F4E78"/>
        <rFont val="나눔고딕"/>
        <family val="2"/>
      </rPr>
      <t>양방향</t>
    </r>
    <r>
      <rPr>
        <b/>
        <sz val="11"/>
        <color rgb="FF1F4E78"/>
        <rFont val="Arial"/>
        <charset val="1"/>
      </rPr>
      <t>)</t>
    </r>
  </si>
  <si>
    <t>출발</t>
  </si>
  <si>
    <t>도착</t>
  </si>
  <si>
    <t>일수</t>
  </si>
  <si>
    <t>한국</t>
  </si>
  <si>
    <r>
      <rPr>
        <i/>
        <sz val="10"/>
        <color rgb="FF595959"/>
        <rFont val="나눔고딕"/>
        <family val="2"/>
      </rPr>
      <t>기타</t>
    </r>
    <r>
      <rPr>
        <i/>
        <sz val="10"/>
        <color rgb="FF595959"/>
        <rFont val="Arial"/>
        <charset val="1"/>
      </rPr>
      <t xml:space="preserve">: </t>
    </r>
    <r>
      <rPr>
        <i/>
        <sz val="10"/>
        <color rgb="FF595959"/>
        <rFont val="나눔고딕"/>
        <family val="2"/>
      </rPr>
      <t xml:space="preserve">배 </t>
    </r>
    <r>
      <rPr>
        <i/>
        <sz val="10"/>
        <color rgb="FF595959"/>
        <rFont val="Arial"/>
        <charset val="1"/>
      </rPr>
      <t>3</t>
    </r>
    <r>
      <rPr>
        <i/>
        <sz val="10"/>
        <color rgb="FF595959"/>
        <rFont val="나눔고딕"/>
        <family val="2"/>
      </rPr>
      <t>척</t>
    </r>
    <r>
      <rPr>
        <i/>
        <sz val="10"/>
        <color rgb="FF595959"/>
        <rFont val="Arial"/>
        <charset val="1"/>
      </rPr>
      <t xml:space="preserve">, </t>
    </r>
    <r>
      <rPr>
        <i/>
        <sz val="10"/>
        <color rgb="FF595959"/>
        <rFont val="나눔고딕"/>
        <family val="2"/>
      </rPr>
      <t xml:space="preserve">척당 일 운항비 </t>
    </r>
    <r>
      <rPr>
        <i/>
        <sz val="10"/>
        <color rgb="FF595959"/>
        <rFont val="Arial"/>
        <charset val="1"/>
      </rPr>
      <t>1</t>
    </r>
    <r>
      <rPr>
        <i/>
        <sz val="10"/>
        <color rgb="FF595959"/>
        <rFont val="나눔고딕"/>
        <family val="2"/>
      </rPr>
      <t>억 원</t>
    </r>
    <r>
      <rPr>
        <i/>
        <sz val="10"/>
        <color rgb="FF595959"/>
        <rFont val="Arial"/>
        <charset val="1"/>
      </rPr>
      <t>(= 100,000,000</t>
    </r>
    <r>
      <rPr>
        <i/>
        <sz val="10"/>
        <color rgb="FF595959"/>
        <rFont val="나눔고딕"/>
        <family val="2"/>
      </rPr>
      <t>원</t>
    </r>
    <r>
      <rPr>
        <i/>
        <sz val="10"/>
        <color rgb="FF595959"/>
        <rFont val="Arial"/>
        <charset val="1"/>
      </rPr>
      <t xml:space="preserve">), </t>
    </r>
    <r>
      <rPr>
        <i/>
        <sz val="10"/>
        <color rgb="FF595959"/>
        <rFont val="나눔고딕"/>
        <family val="2"/>
      </rPr>
      <t xml:space="preserve">마스터 버전 </t>
    </r>
    <r>
      <rPr>
        <i/>
        <sz val="10"/>
        <color rgb="FF595959"/>
        <rFont val="Arial"/>
        <charset val="1"/>
      </rPr>
      <t>1(</t>
    </r>
    <r>
      <rPr>
        <i/>
        <sz val="10"/>
        <color rgb="FF595959"/>
        <rFont val="나눔고딕"/>
        <family val="2"/>
      </rPr>
      <t>초기</t>
    </r>
    <r>
      <rPr>
        <i/>
        <sz val="10"/>
        <color rgb="FF595959"/>
        <rFont val="Arial"/>
        <charset val="1"/>
      </rPr>
      <t>).</t>
    </r>
  </si>
  <si>
    <r>
      <rPr>
        <b/>
        <sz val="11"/>
        <color rgb="FF1F4E78"/>
        <rFont val="Arial"/>
        <charset val="1"/>
      </rPr>
      <t xml:space="preserve">3. </t>
    </r>
    <r>
      <rPr>
        <b/>
        <sz val="11"/>
        <color rgb="FF1F4E78"/>
        <rFont val="나눔고딕"/>
        <family val="2"/>
      </rPr>
      <t>경계값 입력표</t>
    </r>
  </si>
  <si>
    <t>허용 최소</t>
  </si>
  <si>
    <t>허용 최대</t>
  </si>
  <si>
    <r>
      <rPr>
        <b/>
        <sz val="10"/>
        <color rgb="FFFFFFFF"/>
        <rFont val="나눔고딕"/>
        <family val="2"/>
      </rPr>
      <t>거부 예시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나눔고딕"/>
        <family val="2"/>
      </rPr>
      <t>아래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</si>
  <si>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나눔고딕"/>
        <family val="2"/>
      </rPr>
      <t>거부 예시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나눔고딕"/>
        <family val="2"/>
      </rPr>
      <t>위</t>
    </r>
    <r>
      <rPr>
        <b/>
        <sz val="10"/>
        <color rgb="FFFFFFFF"/>
        <rFont val="Arial"/>
        <charset val="1"/>
      </rPr>
      <t>)</t>
    </r>
  </si>
  <si>
    <t>관련 시나리오</t>
  </si>
  <si>
    <r>
      <rPr>
        <sz val="10"/>
        <color rgb="FF000000"/>
        <rFont val="나눔고딕"/>
        <family val="2"/>
      </rPr>
      <t>총 생산 필요 수</t>
    </r>
    <r>
      <rPr>
        <sz val="10"/>
        <color rgb="FF000000"/>
        <rFont val="Arial"/>
        <charset val="1"/>
      </rPr>
      <t>(K)</t>
    </r>
  </si>
  <si>
    <t>SIM-10 ~ 13</t>
  </si>
  <si>
    <t>배 척수</t>
  </si>
  <si>
    <t>항해 일수</t>
  </si>
  <si>
    <r>
      <rPr>
        <sz val="10"/>
        <color rgb="FF000000"/>
        <rFont val="나눔고딕"/>
        <family val="2"/>
      </rPr>
      <t>하루 최대 생산량</t>
    </r>
    <r>
      <rPr>
        <sz val="10"/>
        <color rgb="FF000000"/>
        <rFont val="Arial"/>
        <charset val="1"/>
      </rPr>
      <t>(K)</t>
    </r>
  </si>
  <si>
    <r>
      <rPr>
        <sz val="10"/>
        <color rgb="FF000000"/>
        <rFont val="나눔고딕"/>
        <family val="2"/>
      </rPr>
      <t>재고 상한</t>
    </r>
    <r>
      <rPr>
        <sz val="10"/>
        <color rgb="FF000000"/>
        <rFont val="Arial"/>
        <charset val="1"/>
      </rPr>
      <t>(K)</t>
    </r>
  </si>
  <si>
    <r>
      <rPr>
        <sz val="10"/>
        <color rgb="FF000000"/>
        <rFont val="나눔고딕"/>
        <family val="2"/>
      </rPr>
      <t>셀당 원가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원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</si>
  <si>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나눔고딕"/>
        <family val="2"/>
      </rPr>
      <t>메모 길이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자</t>
    </r>
    <r>
      <rPr>
        <sz val="10"/>
        <color rgb="FF000000"/>
        <rFont val="Arial"/>
        <charset val="1"/>
      </rPr>
      <t>)</t>
    </r>
  </si>
  <si>
    <t>CNF-05, API-06</t>
  </si>
  <si>
    <r>
      <rPr>
        <i/>
        <sz val="10"/>
        <color rgb="FF595959"/>
        <rFont val="나눔고딕"/>
        <family val="2"/>
      </rPr>
      <t>출처</t>
    </r>
    <r>
      <rPr>
        <i/>
        <sz val="10"/>
        <color rgb="FF595959"/>
        <rFont val="Arial"/>
        <charset val="1"/>
      </rPr>
      <t xml:space="preserve">: </t>
    </r>
    <r>
      <rPr>
        <i/>
        <sz val="10"/>
        <color rgb="FF595959"/>
        <rFont val="나눔고딕"/>
        <family val="2"/>
      </rPr>
      <t>마스터 저장</t>
    </r>
    <r>
      <rPr>
        <i/>
        <sz val="10"/>
        <color rgb="FF595959"/>
        <rFont val="Arial"/>
        <charset val="1"/>
      </rPr>
      <t>·</t>
    </r>
    <r>
      <rPr>
        <i/>
        <sz val="10"/>
        <color rgb="FF595959"/>
        <rFont val="나눔고딕"/>
        <family val="2"/>
      </rPr>
      <t>주문 검증 코드의 상수</t>
    </r>
    <r>
      <rPr>
        <i/>
        <sz val="10"/>
        <color rgb="FF595959"/>
        <rFont val="Arial"/>
        <charset val="1"/>
      </rPr>
      <t xml:space="preserve">. </t>
    </r>
    <r>
      <rPr>
        <i/>
        <sz val="10"/>
        <color rgb="FF595959"/>
        <rFont val="나눔고딕"/>
        <family val="2"/>
      </rPr>
      <t>값이 바뀌면 이 표와 관련 시나리오를 함께 고친다</t>
    </r>
    <r>
      <rPr>
        <i/>
        <sz val="10"/>
        <color rgb="FF595959"/>
        <rFont val="Arial"/>
        <charset val="1"/>
      </rPr>
      <t>.</t>
    </r>
  </si>
  <si>
    <r>
      <rPr>
        <b/>
        <sz val="11"/>
        <color rgb="FF1F4E78"/>
        <rFont val="Arial"/>
        <charset val="1"/>
      </rPr>
      <t xml:space="preserve">4. </t>
    </r>
    <r>
      <rPr>
        <b/>
        <sz val="11"/>
        <color rgb="FF1F4E78"/>
        <rFont val="나눔고딕"/>
        <family val="2"/>
      </rPr>
      <t>계정</t>
    </r>
  </si>
  <si>
    <t>아이디</t>
  </si>
  <si>
    <t>비밀번호</t>
  </si>
  <si>
    <t>비고</t>
  </si>
  <si>
    <t>admin</t>
  </si>
  <si>
    <r>
      <rPr>
        <sz val="10"/>
        <color rgb="FF000000"/>
        <rFont val="나눔고딕"/>
        <family val="2"/>
      </rPr>
      <t>유일한 계정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하드코딩</t>
    </r>
    <r>
      <rPr>
        <sz val="10"/>
        <color rgb="FF000000"/>
        <rFont val="Arial"/>
        <charset val="1"/>
      </rPr>
      <t xml:space="preserve">). </t>
    </r>
    <r>
      <rPr>
        <sz val="10"/>
        <color rgb="FF000000"/>
        <rFont val="나눔고딕"/>
        <family val="2"/>
      </rPr>
      <t>사용자 구분 없음</t>
    </r>
  </si>
  <si>
    <t>테스트 설계 중 발견한 확인 사항</t>
  </si>
  <si>
    <r>
      <rPr>
        <i/>
        <sz val="10"/>
        <color rgb="FF595959"/>
        <rFont val="나눔고딕"/>
        <family val="2"/>
      </rPr>
      <t xml:space="preserve">초안 </t>
    </r>
    <r>
      <rPr>
        <i/>
        <sz val="10"/>
        <color rgb="FF595959"/>
        <rFont val="Arial"/>
        <charset val="1"/>
      </rPr>
      <t>A</t>
    </r>
    <r>
      <rPr>
        <i/>
        <sz val="10"/>
        <color rgb="FF595959"/>
        <rFont val="나눔고딕"/>
        <family val="2"/>
      </rPr>
      <t>의 항목을 이어받고</t>
    </r>
    <r>
      <rPr>
        <i/>
        <sz val="10"/>
        <color rgb="FF595959"/>
        <rFont val="Arial"/>
        <charset val="1"/>
      </rPr>
      <t xml:space="preserve">, </t>
    </r>
    <r>
      <rPr>
        <i/>
        <sz val="10"/>
        <color rgb="FF595959"/>
        <rFont val="나눔고딕"/>
        <family val="2"/>
      </rPr>
      <t>통합 과정에서 나온 항목을 추가했다</t>
    </r>
    <r>
      <rPr>
        <i/>
        <sz val="10"/>
        <color rgb="FF595959"/>
        <rFont val="Arial"/>
        <charset val="1"/>
      </rPr>
      <t>. '</t>
    </r>
    <r>
      <rPr>
        <i/>
        <sz val="10"/>
        <color rgb="FF595959"/>
        <rFont val="나눔고딕"/>
        <family val="2"/>
      </rPr>
      <t>검증 수준</t>
    </r>
    <r>
      <rPr>
        <i/>
        <sz val="10"/>
        <color rgb="FF595959"/>
        <rFont val="Arial"/>
        <charset val="1"/>
      </rPr>
      <t xml:space="preserve">' </t>
    </r>
    <r>
      <rPr>
        <i/>
        <sz val="10"/>
        <color rgb="FF595959"/>
        <rFont val="나눔고딕"/>
        <family val="2"/>
      </rPr>
      <t>열에서 직접 확인한 것과 추정을 구분했다</t>
    </r>
    <r>
      <rPr>
        <i/>
        <sz val="10"/>
        <color rgb="FF595959"/>
        <rFont val="Arial"/>
        <charset val="1"/>
      </rPr>
      <t>.</t>
    </r>
  </si>
  <si>
    <t>#</t>
  </si>
  <si>
    <t>내용</t>
  </si>
  <si>
    <r>
      <rPr>
        <b/>
        <sz val="10"/>
        <color rgb="FFFFFFFF"/>
        <rFont val="나눔고딕"/>
        <family val="2"/>
      </rPr>
      <t xml:space="preserve">근거 </t>
    </r>
    <r>
      <rPr>
        <b/>
        <sz val="10"/>
        <color rgb="FFFFFFFF"/>
        <rFont val="Arial"/>
        <charset val="1"/>
      </rPr>
      <t xml:space="preserve">/ </t>
    </r>
    <r>
      <rPr>
        <b/>
        <sz val="10"/>
        <color rgb="FFFFFFFF"/>
        <rFont val="나눔고딕"/>
        <family val="2"/>
      </rPr>
      <t>검증 수준</t>
    </r>
  </si>
  <si>
    <t>영향 시나리오</t>
  </si>
  <si>
    <t>제안</t>
  </si>
  <si>
    <t>결함 의심</t>
  </si>
  <si>
    <r>
      <rPr>
        <sz val="10"/>
        <color rgb="FF000000"/>
        <rFont val="나눔고딕"/>
        <family val="2"/>
      </rPr>
      <t xml:space="preserve">존재하지 않는 주문 번호로 상세 조회하면 </t>
    </r>
    <r>
      <rPr>
        <sz val="10"/>
        <color rgb="FF000000"/>
        <rFont val="Arial"/>
        <charset val="1"/>
      </rPr>
      <t xml:space="preserve">HTTP 500 </t>
    </r>
    <r>
      <rPr>
        <sz val="10"/>
        <color rgb="FF000000"/>
        <rFont val="나눔고딕"/>
        <family val="2"/>
      </rPr>
      <t>이 응답된다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</si>
  <si>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 xml:space="preserve">실행 서버에서 </t>
    </r>
    <r>
      <rPr>
        <sz val="10"/>
        <color rgb="FF000000"/>
        <rFont val="Arial"/>
        <charset val="1"/>
      </rPr>
      <t xml:space="preserve">GET /orders/999999 → 500 </t>
    </r>
    <r>
      <rPr>
        <sz val="10"/>
        <color rgb="FF000000"/>
        <rFont val="나눔고딕"/>
        <family val="2"/>
      </rPr>
      <t>확인함</t>
    </r>
    <r>
      <rPr>
        <sz val="10"/>
        <color rgb="FF000000"/>
        <rFont val="Arial"/>
        <charset val="1"/>
      </rPr>
      <t xml:space="preserve">. BatteryService.getOrder </t>
    </r>
    <r>
      <rPr>
        <sz val="10"/>
        <color rgb="FF000000"/>
        <rFont val="나눔고딕"/>
        <family val="2"/>
      </rPr>
      <t xml:space="preserve">가 </t>
    </r>
    <r>
      <rPr>
        <sz val="10"/>
        <color rgb="FF000000"/>
        <rFont val="Arial"/>
        <charset val="1"/>
      </rPr>
      <t xml:space="preserve">BusinessException </t>
    </r>
    <r>
      <rPr>
        <sz val="10"/>
        <color rgb="FF000000"/>
        <rFont val="나눔고딕"/>
        <family val="2"/>
      </rPr>
      <t>을 던지는데 컨트롤러가 화면 요청에서는 처리하지 않음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</si>
  <si>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Arial"/>
        <charset val="1"/>
      </rPr>
      <t xml:space="preserve">404 </t>
    </r>
    <r>
      <rPr>
        <sz val="10"/>
        <color rgb="FF000000"/>
        <rFont val="나눔고딕"/>
        <family val="2"/>
      </rPr>
      <t>또는 목록으로 안내하도록 처리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 xml:space="preserve">수정 전까지는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 xml:space="preserve">현재 </t>
    </r>
    <r>
      <rPr>
        <sz val="10"/>
        <color rgb="FF000000"/>
        <rFont val="Arial"/>
        <charset val="1"/>
      </rPr>
      <t xml:space="preserve">500' </t>
    </r>
    <r>
      <rPr>
        <sz val="10"/>
        <color rgb="FF000000"/>
        <rFont val="나눔고딕"/>
        <family val="2"/>
      </rPr>
      <t>을 알려진 이슈로 표시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</si>
  <si>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 xml:space="preserve">주문을 취소하면 주문 행을 삭제한 뒤 </t>
    </r>
    <r>
      <rPr>
        <sz val="10"/>
        <color rgb="FF000000"/>
        <rFont val="Arial"/>
        <charset val="1"/>
      </rPr>
      <t xml:space="preserve">/orders/{id} </t>
    </r>
    <r>
      <rPr>
        <sz val="10"/>
        <color rgb="FF000000"/>
        <rFont val="나눔고딕"/>
        <family val="2"/>
      </rPr>
      <t>로 리다이렉트하므로 오류 화면이 나올 수 있다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</si>
  <si>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>코드 추정</t>
    </r>
    <r>
      <rPr>
        <sz val="10"/>
        <color rgb="FF000000"/>
        <rFont val="Arial"/>
        <charset val="1"/>
      </rPr>
      <t xml:space="preserve">(changeStatus </t>
    </r>
    <r>
      <rPr>
        <sz val="10"/>
        <color rgb="FF000000"/>
        <rFont val="나눔고딕"/>
        <family val="2"/>
      </rPr>
      <t xml:space="preserve">의 </t>
    </r>
    <r>
      <rPr>
        <sz val="10"/>
        <color rgb="FF000000"/>
        <rFont val="Arial"/>
        <charset val="1"/>
      </rPr>
      <t xml:space="preserve">orders.delete </t>
    </r>
    <r>
      <rPr>
        <sz val="10"/>
        <color rgb="FF000000"/>
        <rFont val="나눔고딕"/>
        <family val="2"/>
      </rPr>
      <t xml:space="preserve">후 </t>
    </r>
    <r>
      <rPr>
        <sz val="10"/>
        <color rgb="FF000000"/>
        <rFont val="Arial"/>
        <charset val="1"/>
      </rPr>
      <t xml:space="preserve">redirect:/orders/{id}). </t>
    </r>
    <r>
      <rPr>
        <sz val="10"/>
        <color rgb="FF000000"/>
        <rFont val="나눔고딕"/>
        <family val="2"/>
      </rPr>
      <t xml:space="preserve">아직 실행해 보지 않음 → </t>
    </r>
    <r>
      <rPr>
        <sz val="10"/>
        <color rgb="FF000000"/>
        <rFont val="Arial"/>
        <charset val="1"/>
      </rPr>
      <t xml:space="preserve">DTL-05 </t>
    </r>
    <r>
      <rPr>
        <sz val="10"/>
        <color rgb="FF000000"/>
        <rFont val="나눔고딕"/>
        <family val="2"/>
      </rPr>
      <t>로 확인</t>
    </r>
    <r>
      <rPr>
        <sz val="10"/>
        <color rgb="FF000000"/>
        <rFont val="Arial"/>
        <charset val="1"/>
      </rPr>
      <t>.</t>
    </r>
  </si>
  <si>
    <t>DTL-05, DTL-06</t>
  </si>
  <si>
    <r>
      <rPr>
        <sz val="10"/>
        <color rgb="FF000000"/>
        <rFont val="나눔고딕"/>
        <family val="2"/>
      </rPr>
      <t>취소 후에는 목록으로 이동하고 메시지를 보여주는 흐름이 자연스러움</t>
    </r>
    <r>
      <rPr>
        <sz val="10"/>
        <color rgb="FF000000"/>
        <rFont val="Arial"/>
        <charset val="1"/>
      </rPr>
      <t>.</t>
    </r>
  </si>
  <si>
    <t>의도 확인</t>
  </si>
  <si>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취소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 xml:space="preserve">상태 주문은 삭제되므로 목록의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취소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 xml:space="preserve">칩 건수는 항상 </t>
    </r>
    <r>
      <rPr>
        <sz val="10"/>
        <color rgb="FF000000"/>
        <rFont val="Arial"/>
        <charset val="1"/>
      </rPr>
      <t xml:space="preserve">0 </t>
    </r>
    <r>
      <rPr>
        <sz val="10"/>
        <color rgb="FF000000"/>
        <rFont val="나눔고딕"/>
        <family val="2"/>
      </rPr>
      <t>이 된다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</si>
  <si>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>코드 추정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이력 테이블에는 남지만 화면에서 조회할 방법이 없다</t>
    </r>
    <r>
      <rPr>
        <sz val="10"/>
        <color rgb="FF000000"/>
        <rFont val="Arial"/>
        <charset val="1"/>
      </rPr>
      <t>.</t>
    </r>
  </si>
  <si>
    <t>LST-01, DTL-06</t>
  </si>
  <si>
    <r>
      <rPr>
        <sz val="10"/>
        <color rgb="FF000000"/>
        <rFont val="나눔고딕"/>
        <family val="2"/>
      </rPr>
      <t>취소 주문을 보관</t>
    </r>
    <r>
      <rPr>
        <sz val="10"/>
        <color rgb="FF000000"/>
        <rFont val="Arial"/>
        <charset val="1"/>
      </rPr>
      <t>/</t>
    </r>
    <r>
      <rPr>
        <sz val="10"/>
        <color rgb="FF000000"/>
        <rFont val="나눔고딕"/>
        <family val="2"/>
      </rPr>
      <t>조회해야 하는지 고객 확인</t>
    </r>
    <r>
      <rPr>
        <sz val="10"/>
        <color rgb="FF000000"/>
        <rFont val="Arial"/>
        <charset val="1"/>
      </rPr>
      <t xml:space="preserve">(PRD.md </t>
    </r>
    <r>
      <rPr>
        <sz val="10"/>
        <color rgb="FF000000"/>
        <rFont val="나눔고딕"/>
        <family val="2"/>
      </rPr>
      <t xml:space="preserve">열린 질문 </t>
    </r>
    <r>
      <rPr>
        <sz val="10"/>
        <color rgb="FF000000"/>
        <rFont val="Arial"/>
        <charset val="1"/>
      </rPr>
      <t>Q2).</t>
    </r>
  </si>
  <si>
    <t>테스트 기법</t>
  </si>
  <si>
    <r>
      <rPr>
        <sz val="10"/>
        <color rgb="FF000000"/>
        <rFont val="나눔고딕"/>
        <family val="2"/>
      </rPr>
      <t xml:space="preserve">마스터 입력칸의 </t>
    </r>
    <r>
      <rPr>
        <sz val="10"/>
        <color rgb="FF000000"/>
        <rFont val="Arial"/>
        <charset val="1"/>
      </rPr>
      <t xml:space="preserve">min/max </t>
    </r>
    <r>
      <rPr>
        <sz val="10"/>
        <color rgb="FF000000"/>
        <rFont val="나눔고딕"/>
        <family val="2"/>
      </rPr>
      <t>속성 때문에 브라우저 검증이 먼저 막아 서버 검증 메시지를 볼 수 없다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</si>
  <si>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Arial"/>
        <charset val="1"/>
      </rPr>
      <t xml:space="preserve">master.html </t>
    </r>
    <r>
      <rPr>
        <sz val="10"/>
        <color rgb="FF000000"/>
        <rFont val="나눔고딕"/>
        <family val="2"/>
      </rPr>
      <t xml:space="preserve">의 </t>
    </r>
    <r>
      <rPr>
        <sz val="10"/>
        <color rgb="FF000000"/>
        <rFont val="Arial"/>
        <charset val="1"/>
      </rPr>
      <t xml:space="preserve">input min/max. </t>
    </r>
    <r>
      <rPr>
        <sz val="10"/>
        <color rgb="FF000000"/>
        <rFont val="나눔고딕"/>
        <family val="2"/>
      </rPr>
      <t>코드 확인</t>
    </r>
    <r>
      <rPr>
        <sz val="10"/>
        <color rgb="FF000000"/>
        <rFont val="Arial"/>
        <charset val="1"/>
      </rPr>
      <t>.</t>
    </r>
  </si>
  <si>
    <t>MST-03~07</t>
  </si>
  <si>
    <r>
      <rPr>
        <sz val="10"/>
        <color rgb="FF000000"/>
        <rFont val="나눔고딕"/>
        <family val="2"/>
      </rPr>
      <t xml:space="preserve">테스트에서 </t>
    </r>
    <r>
      <rPr>
        <sz val="10"/>
        <color rgb="FF000000"/>
        <rFont val="Arial"/>
        <charset val="1"/>
      </rPr>
      <t xml:space="preserve">form.noValidate = true </t>
    </r>
    <r>
      <rPr>
        <sz val="10"/>
        <color rgb="FF000000"/>
        <rFont val="나눔고딕"/>
        <family val="2"/>
      </rPr>
      <t>로 브라우저 검증을 끄고 서버 오류 경로를 검증</t>
    </r>
    <r>
      <rPr>
        <sz val="10"/>
        <color rgb="FF000000"/>
        <rFont val="Arial"/>
        <charset val="1"/>
      </rPr>
      <t>.</t>
    </r>
  </si>
  <si>
    <t>데이터 오염</t>
  </si>
  <si>
    <r>
      <rPr>
        <sz val="10"/>
        <color rgb="FF000000"/>
        <rFont val="나눔고딕"/>
        <family val="2"/>
      </rPr>
      <t>테스트가 실행 중인 서버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 xml:space="preserve">파일 </t>
    </r>
    <r>
      <rPr>
        <sz val="10"/>
        <color rgb="FF000000"/>
        <rFont val="Arial"/>
        <charset val="1"/>
      </rPr>
      <t>DB ./data/battery)</t>
    </r>
    <r>
      <rPr>
        <sz val="10"/>
        <color rgb="FF000000"/>
        <rFont val="나눔고딕"/>
        <family val="2"/>
      </rPr>
      <t>를 그대로 사용하므로 주문과 마스터 버전이 계속 쌓인다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</si>
  <si>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Arial"/>
        <charset val="1"/>
      </rPr>
      <t xml:space="preserve">playwright.config.ts </t>
    </r>
    <r>
      <rPr>
        <sz val="10"/>
        <color rgb="FF000000"/>
        <rFont val="나눔고딕"/>
        <family val="2"/>
      </rPr>
      <t>가 기존 서버를 사용하도록 설정됨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마스터 버전은 한 번 올라가면 되돌릴 수 없다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</si>
  <si>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Arial"/>
        <charset val="1"/>
      </rPr>
      <t xml:space="preserve">'DB </t>
    </r>
    <r>
      <rPr>
        <sz val="10"/>
        <color rgb="FF000000"/>
        <rFont val="나눔고딕"/>
        <family val="2"/>
      </rPr>
      <t>변경</t>
    </r>
    <r>
      <rPr>
        <sz val="10"/>
        <color rgb="FF000000"/>
        <rFont val="Arial"/>
        <charset val="1"/>
      </rPr>
      <t xml:space="preserve">: Y' </t>
    </r>
    <r>
      <rPr>
        <sz val="10"/>
        <color rgb="FF000000"/>
        <rFont val="나눔고딕"/>
        <family val="2"/>
      </rPr>
      <t>전체</t>
    </r>
  </si>
  <si>
    <r>
      <rPr>
        <sz val="10"/>
        <color rgb="FF000000"/>
        <rFont val="나눔고딕"/>
        <family val="2"/>
      </rPr>
      <t xml:space="preserve">각 테스트가 </t>
    </r>
    <r>
      <rPr>
        <sz val="10"/>
        <color rgb="FF000000"/>
        <rFont val="Arial"/>
        <charset val="1"/>
      </rPr>
      <t xml:space="preserve">afterEach </t>
    </r>
    <r>
      <rPr>
        <sz val="10"/>
        <color rgb="FF000000"/>
        <rFont val="나눔고딕"/>
        <family val="2"/>
      </rPr>
      <t>에서 마스터 값을 원복하고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건수는 절대값이 아닌 전후 차이로 검증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가능하면 테스트 전용 인메모리 서버를 별도 포트로 사용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</si>
  <si>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>취소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>상태 변경 시 확인 대화상자</t>
    </r>
    <r>
      <rPr>
        <sz val="10"/>
        <color rgb="FF000000"/>
        <rFont val="Arial"/>
        <charset val="1"/>
      </rPr>
      <t>(confirm)</t>
    </r>
    <r>
      <rPr>
        <sz val="10"/>
        <color rgb="FF000000"/>
        <rFont val="나눔고딕"/>
        <family val="2"/>
      </rPr>
      <t>가 뜬다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</si>
  <si>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Arial"/>
        <charset val="1"/>
      </rPr>
      <t xml:space="preserve">order-detail.html </t>
    </r>
    <r>
      <rPr>
        <sz val="10"/>
        <color rgb="FF000000"/>
        <rFont val="나눔고딕"/>
        <family val="2"/>
      </rPr>
      <t xml:space="preserve">의 </t>
    </r>
    <r>
      <rPr>
        <sz val="10"/>
        <color rgb="FF000000"/>
        <rFont val="Arial"/>
        <charset val="1"/>
      </rPr>
      <t xml:space="preserve">submit </t>
    </r>
    <r>
      <rPr>
        <sz val="10"/>
        <color rgb="FF000000"/>
        <rFont val="나눔고딕"/>
        <family val="2"/>
      </rPr>
      <t>핸들러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코드 확인</t>
    </r>
    <r>
      <rPr>
        <sz val="10"/>
        <color rgb="FF000000"/>
        <rFont val="Arial"/>
        <charset val="1"/>
      </rPr>
      <t>.</t>
    </r>
  </si>
  <si>
    <t>DTL-02~05</t>
  </si>
  <si>
    <r>
      <rPr>
        <sz val="10"/>
        <color rgb="FF000000"/>
        <rFont val="Arial"/>
        <charset val="1"/>
      </rPr>
      <t xml:space="preserve">page.on('dialog', d =&gt; d.accept()) </t>
    </r>
    <r>
      <rPr>
        <sz val="10"/>
        <color rgb="FF000000"/>
        <rFont val="나눔고딕"/>
        <family val="2"/>
      </rPr>
      <t>를 클릭 전에 등록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</si>
  <si>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>동시 변경</t>
    </r>
    <r>
      <rPr>
        <sz val="10"/>
        <color rgb="FF000000"/>
        <rFont val="Arial"/>
        <charset val="1"/>
      </rPr>
      <t>·</t>
    </r>
    <r>
      <rPr>
        <sz val="10"/>
        <color rgb="FF000000"/>
        <rFont val="나눔고딕"/>
        <family val="2"/>
      </rPr>
      <t xml:space="preserve">마스터 충돌 시나리오는 서로 다른 </t>
    </r>
    <r>
      <rPr>
        <sz val="10"/>
        <color rgb="FF000000"/>
        <rFont val="Arial"/>
        <charset val="1"/>
      </rPr>
      <t>browser context(</t>
    </r>
    <r>
      <rPr>
        <sz val="10"/>
        <color rgb="FF000000"/>
        <rFont val="나눔고딕"/>
        <family val="2"/>
      </rPr>
      <t>세션</t>
    </r>
    <r>
      <rPr>
        <sz val="10"/>
        <color rgb="FF000000"/>
        <rFont val="Arial"/>
        <charset val="1"/>
      </rPr>
      <t xml:space="preserve">) </t>
    </r>
    <r>
      <rPr>
        <sz val="10"/>
        <color rgb="FF000000"/>
        <rFont val="나눔고딕"/>
        <family val="2"/>
      </rPr>
      <t>두 개가 필요하다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</si>
  <si>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 xml:space="preserve">충돌 판정은 서버의 </t>
    </r>
    <r>
      <rPr>
        <sz val="10"/>
        <color rgb="FF000000"/>
        <rFont val="Arial"/>
        <charset val="1"/>
      </rPr>
      <t xml:space="preserve">version </t>
    </r>
    <r>
      <rPr>
        <sz val="10"/>
        <color rgb="FF000000"/>
        <rFont val="나눔고딕"/>
        <family val="2"/>
      </rPr>
      <t>비교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>코드 확인</t>
    </r>
    <r>
      <rPr>
        <sz val="10"/>
        <color rgb="FF000000"/>
        <rFont val="Arial"/>
        <charset val="1"/>
      </rPr>
      <t>.</t>
    </r>
  </si>
  <si>
    <t>CNF-06, DTL-07</t>
  </si>
  <si>
    <r>
      <rPr>
        <sz val="10"/>
        <color rgb="FF000000"/>
        <rFont val="Arial"/>
        <charset val="1"/>
      </rPr>
      <t xml:space="preserve">browser.newContext() </t>
    </r>
    <r>
      <rPr>
        <sz val="10"/>
        <color rgb="FF000000"/>
        <rFont val="나눔고딕"/>
        <family val="2"/>
      </rPr>
      <t>로 두 사용자를 만들고 로그인</t>
    </r>
    <r>
      <rPr>
        <sz val="10"/>
        <color rgb="FF000000"/>
        <rFont val="Arial"/>
        <charset val="1"/>
      </rPr>
      <t>.</t>
    </r>
  </si>
  <si>
    <t>성능</t>
  </si>
  <si>
    <r>
      <rPr>
        <sz val="10"/>
        <color rgb="FF000000"/>
        <rFont val="Arial"/>
        <charset val="1"/>
      </rPr>
      <t xml:space="preserve">100,000K </t>
    </r>
    <r>
      <rPr>
        <sz val="10"/>
        <color rgb="FF000000"/>
        <rFont val="나눔고딕"/>
        <family val="2"/>
      </rPr>
      <t xml:space="preserve">처럼 방문 횟수가 많은 입력은 </t>
    </r>
    <r>
      <rPr>
        <sz val="10"/>
        <color rgb="FF000000"/>
        <rFont val="Arial"/>
        <charset val="1"/>
      </rPr>
      <t xml:space="preserve">Planner </t>
    </r>
    <r>
      <rPr>
        <sz val="10"/>
        <color rgb="FF000000"/>
        <rFont val="나눔고딕"/>
        <family val="2"/>
      </rPr>
      <t>의 완전 탐색 계산이 오래 걸릴 수 있다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</si>
  <si>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>추정</t>
    </r>
    <r>
      <rPr>
        <sz val="10"/>
        <color rgb="FF000000"/>
        <rFont val="Arial"/>
        <charset val="1"/>
      </rPr>
      <t xml:space="preserve">. Planner </t>
    </r>
    <r>
      <rPr>
        <sz val="10"/>
        <color rgb="FF000000"/>
        <rFont val="나눔고딕"/>
        <family val="2"/>
      </rPr>
      <t xml:space="preserve">가 분할 </t>
    </r>
    <r>
      <rPr>
        <sz val="10"/>
        <color rgb="FF000000"/>
        <rFont val="Arial"/>
        <charset val="1"/>
      </rPr>
      <t xml:space="preserve">× </t>
    </r>
    <r>
      <rPr>
        <sz val="10"/>
        <color rgb="FF000000"/>
        <rFont val="나눔고딕"/>
        <family val="2"/>
      </rPr>
      <t xml:space="preserve">왕복 패턴 </t>
    </r>
    <r>
      <rPr>
        <sz val="10"/>
        <color rgb="FF000000"/>
        <rFont val="Arial"/>
        <charset val="1"/>
      </rPr>
      <t xml:space="preserve">× </t>
    </r>
    <r>
      <rPr>
        <sz val="10"/>
        <color rgb="FF000000"/>
        <rFont val="나눔고딕"/>
        <family val="2"/>
      </rPr>
      <t>순열을 모두 탐색함</t>
    </r>
    <r>
      <rPr>
        <sz val="10"/>
        <color rgb="FF000000"/>
        <rFont val="Arial"/>
        <charset val="1"/>
      </rPr>
      <t xml:space="preserve">. </t>
    </r>
    <r>
      <rPr>
        <sz val="10"/>
        <color rgb="FF000000"/>
        <rFont val="나눔고딕"/>
        <family val="2"/>
      </rPr>
      <t xml:space="preserve">실제 시간은 </t>
    </r>
    <r>
      <rPr>
        <sz val="10"/>
        <color rgb="FF000000"/>
        <rFont val="Arial"/>
        <charset val="1"/>
      </rPr>
      <t xml:space="preserve">SIM-12 </t>
    </r>
    <r>
      <rPr>
        <sz val="10"/>
        <color rgb="FF000000"/>
        <rFont val="나눔고딕"/>
        <family val="2"/>
      </rPr>
      <t>로 측정 필요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</si>
  <si>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>응답 시간 기준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예</t>
    </r>
    <r>
      <rPr>
        <sz val="10"/>
        <color rgb="FF000000"/>
        <rFont val="Arial"/>
        <charset val="1"/>
      </rPr>
      <t>: 10</t>
    </r>
    <r>
      <rPr>
        <sz val="10"/>
        <color rgb="FF000000"/>
        <rFont val="나눔고딕"/>
        <family val="2"/>
      </rPr>
      <t>초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 xml:space="preserve">을 정하고 </t>
    </r>
    <r>
      <rPr>
        <sz val="10"/>
        <color rgb="FF000000"/>
        <rFont val="Arial"/>
        <charset val="1"/>
      </rPr>
      <t xml:space="preserve">test.setTimeout </t>
    </r>
    <r>
      <rPr>
        <sz val="10"/>
        <color rgb="FF000000"/>
        <rFont val="나눔고딕"/>
        <family val="2"/>
      </rPr>
      <t>을 늘림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</si>
  <si>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>지도 애니메이션은 자동 재생이라 스냅샷 비교가 불안정하다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</si>
  <si>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Arial"/>
        <charset val="1"/>
      </rPr>
      <t xml:space="preserve">anim.js </t>
    </r>
    <r>
      <rPr>
        <sz val="10"/>
        <color rgb="FF000000"/>
        <rFont val="나눔고딕"/>
        <family val="2"/>
      </rPr>
      <t xml:space="preserve">의 </t>
    </r>
    <r>
      <rPr>
        <sz val="10"/>
        <color rgb="FF000000"/>
        <rFont val="Arial"/>
        <charset val="1"/>
      </rPr>
      <t xml:space="preserve">requestAnimationFrame </t>
    </r>
    <r>
      <rPr>
        <sz val="10"/>
        <color rgb="FF000000"/>
        <rFont val="나눔고딕"/>
        <family val="2"/>
      </rPr>
      <t>기반 진행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</si>
  <si>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>요소 존재와 값 변화만 확인하고 시각 비교는 하지 않음</t>
    </r>
    <r>
      <rPr>
        <sz val="10"/>
        <color rgb="FF000000"/>
        <rFont val="Arial"/>
        <charset val="1"/>
      </rPr>
      <t>.</t>
    </r>
  </si>
  <si>
    <t>범위</t>
  </si>
  <si>
    <r>
      <rPr>
        <sz val="10"/>
        <color rgb="FF000000"/>
        <rFont val="나눔고딕"/>
        <family val="2"/>
      </rPr>
      <t>단일 계정이라 권한별 시나리오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담당자</t>
    </r>
    <r>
      <rPr>
        <sz val="10"/>
        <color rgb="FF000000"/>
        <rFont val="Arial"/>
        <charset val="1"/>
      </rPr>
      <t>/</t>
    </r>
    <r>
      <rPr>
        <sz val="10"/>
        <color rgb="FF000000"/>
        <rFont val="나눔고딕"/>
        <family val="2"/>
      </rPr>
      <t>관리자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는 작성하지 않았다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</si>
  <si>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Arial"/>
        <charset val="1"/>
      </rPr>
      <t xml:space="preserve">PRD.md </t>
    </r>
    <r>
      <rPr>
        <sz val="10"/>
        <color rgb="FF000000"/>
        <rFont val="나눔고딕"/>
        <family val="2"/>
      </rPr>
      <t>의 범위 밖 항목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</si>
  <si>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 xml:space="preserve">권한 구분이 생기면 </t>
    </r>
    <r>
      <rPr>
        <sz val="10"/>
        <color rgb="FF000000"/>
        <rFont val="Arial"/>
        <charset val="1"/>
      </rPr>
      <t xml:space="preserve">AUTH </t>
    </r>
    <r>
      <rPr>
        <sz val="10"/>
        <color rgb="FF000000"/>
        <rFont val="나눔고딕"/>
        <family val="2"/>
      </rPr>
      <t>영역에 추가</t>
    </r>
    <r>
      <rPr>
        <sz val="10"/>
        <color rgb="FF000000"/>
        <rFont val="Arial"/>
        <charset val="1"/>
      </rPr>
      <t>.</t>
    </r>
  </si>
  <si>
    <t>탐색 필요</t>
  </si>
  <si>
    <r>
      <rPr>
        <sz val="10"/>
        <color rgb="FF000000"/>
        <rFont val="나눔고딕"/>
        <family val="2"/>
      </rPr>
      <t>두 사람이 동시에 기준 정보를 저장하면 한쪽이 오류가 날 수 있고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그때 사용자에게 어떻게 안내할지 정해져 있지 않다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</si>
  <si>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>코드 확인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기준 정보 저장에도 동시 수정 방지가 있고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이 오류를 처리하는 곳이 보이지 않음</t>
    </r>
    <r>
      <rPr>
        <sz val="10"/>
        <color rgb="FF000000"/>
        <rFont val="Arial"/>
        <charset val="1"/>
      </rPr>
      <t xml:space="preserve">). </t>
    </r>
    <r>
      <rPr>
        <sz val="10"/>
        <color rgb="FF000000"/>
        <rFont val="나눔고딕"/>
        <family val="2"/>
      </rPr>
      <t>실행은 미확인</t>
    </r>
    <r>
      <rPr>
        <sz val="10"/>
        <color rgb="FF000000"/>
        <rFont val="Arial"/>
        <charset val="1"/>
      </rPr>
      <t xml:space="preserve">. PRD </t>
    </r>
    <r>
      <rPr>
        <sz val="10"/>
        <color rgb="FF000000"/>
        <rFont val="나눔고딕"/>
        <family val="2"/>
      </rPr>
      <t xml:space="preserve">리스크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기준 정보 동시 저장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과 같은 내용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</si>
  <si>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>기대 동작</t>
    </r>
    <r>
      <rPr>
        <sz val="10"/>
        <color rgb="FF000000"/>
        <rFont val="Arial"/>
        <charset val="1"/>
      </rPr>
      <t>(</t>
    </r>
    <r>
      <rPr>
        <sz val="10"/>
        <color rgb="FF000000"/>
        <rFont val="나눔고딕"/>
        <family val="2"/>
      </rPr>
      <t>오류 안내 방식</t>
    </r>
    <r>
      <rPr>
        <sz val="10"/>
        <color rgb="FF000000"/>
        <rFont val="Arial"/>
        <charset val="1"/>
      </rPr>
      <t>)</t>
    </r>
    <r>
      <rPr>
        <sz val="10"/>
        <color rgb="FF000000"/>
        <rFont val="나눔고딕"/>
        <family val="2"/>
      </rPr>
      <t>을 팀이 먼저 정한 뒤 시나리오를 확정</t>
    </r>
    <r>
      <rPr>
        <sz val="10"/>
        <color rgb="FF000000"/>
        <rFont val="Arial"/>
        <charset val="1"/>
      </rPr>
      <t>.</t>
    </r>
  </si>
  <si>
    <t>현재 동작</t>
  </si>
  <si>
    <r>
      <rPr>
        <sz val="10"/>
        <color rgb="FF000000"/>
        <rFont val="나눔고딕"/>
        <family val="2"/>
      </rPr>
      <t xml:space="preserve">총 수량에 </t>
    </r>
    <r>
      <rPr>
        <sz val="10"/>
        <color rgb="FF000000"/>
        <rFont val="Arial"/>
        <charset val="1"/>
      </rPr>
      <t xml:space="preserve">0 </t>
    </r>
    <r>
      <rPr>
        <sz val="10"/>
        <color rgb="FF000000"/>
        <rFont val="나눔고딕"/>
        <family val="2"/>
      </rPr>
      <t>을 입력하면 이전 숫자로 되돌아가기만 하고 안내 문구는 나오지 않는다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</si>
  <si>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 xml:space="preserve">초안 </t>
    </r>
    <r>
      <rPr>
        <sz val="10"/>
        <color rgb="FF000000"/>
        <rFont val="Arial"/>
        <charset val="1"/>
      </rPr>
      <t>C(</t>
    </r>
    <r>
      <rPr>
        <sz val="10"/>
        <color rgb="FF000000"/>
        <rFont val="나눔고딕"/>
        <family val="2"/>
      </rPr>
      <t>소스에서 읽은 동작</t>
    </r>
    <r>
      <rPr>
        <sz val="10"/>
        <color rgb="FF000000"/>
        <rFont val="Arial"/>
        <charset val="1"/>
      </rPr>
      <t xml:space="preserve">). </t>
    </r>
    <r>
      <rPr>
        <sz val="10"/>
        <color rgb="FF000000"/>
        <rFont val="나눔고딕"/>
        <family val="2"/>
      </rPr>
      <t>실행은 미확인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</si>
  <si>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>안내가 필요한지 팀이 정하고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>필요하면 기대 결과를 고친다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</si>
  <si>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>우선순위 표기가 초안마다 달랐다</t>
    </r>
    <r>
      <rPr>
        <sz val="10"/>
        <color rgb="FF000000"/>
        <rFont val="Arial"/>
        <charset val="1"/>
      </rPr>
      <t xml:space="preserve">(P1/P2/P3 vs </t>
    </r>
    <r>
      <rPr>
        <sz val="10"/>
        <color rgb="FF000000"/>
        <rFont val="나눔고딕"/>
        <family val="2"/>
      </rPr>
      <t>상</t>
    </r>
    <r>
      <rPr>
        <sz val="10"/>
        <color rgb="FF000000"/>
        <rFont val="Arial"/>
        <charset val="1"/>
      </rPr>
      <t>/</t>
    </r>
    <r>
      <rPr>
        <sz val="10"/>
        <color rgb="FF000000"/>
        <rFont val="나눔고딕"/>
        <family val="2"/>
      </rPr>
      <t>중</t>
    </r>
    <r>
      <rPr>
        <sz val="10"/>
        <color rgb="FF000000"/>
        <rFont val="Arial"/>
        <charset val="1"/>
      </rPr>
      <t>/</t>
    </r>
    <r>
      <rPr>
        <sz val="10"/>
        <color rgb="FF000000"/>
        <rFont val="나눔고딕"/>
        <family val="2"/>
      </rPr>
      <t>하</t>
    </r>
    <r>
      <rPr>
        <sz val="10"/>
        <color rgb="FF000000"/>
        <rFont val="Arial"/>
        <charset val="1"/>
      </rPr>
      <t xml:space="preserve">). </t>
    </r>
    <r>
      <rPr>
        <sz val="10"/>
        <color rgb="FF000000"/>
        <rFont val="나눔고딕"/>
        <family val="2"/>
      </rPr>
      <t xml:space="preserve">통합본은 </t>
    </r>
    <r>
      <rPr>
        <sz val="10"/>
        <color rgb="FF000000"/>
        <rFont val="Arial"/>
        <charset val="1"/>
      </rPr>
      <t xml:space="preserve">P1/P2/P3 </t>
    </r>
    <r>
      <rPr>
        <sz val="10"/>
        <color rgb="FF000000"/>
        <rFont val="나눔고딕"/>
        <family val="2"/>
      </rPr>
      <t>로 통일했고</t>
    </r>
    <r>
      <rPr>
        <sz val="10"/>
        <color rgb="FF000000"/>
        <rFont val="Arial"/>
        <charset val="1"/>
      </rPr>
      <t xml:space="preserve">, </t>
    </r>
    <r>
      <rPr>
        <sz val="10"/>
        <color rgb="FF000000"/>
        <rFont val="나눔고딕"/>
        <family val="2"/>
      </rPr>
      <t xml:space="preserve">같은 시나리오의 우선순위 차이는 </t>
    </r>
    <r>
      <rPr>
        <sz val="10"/>
        <color rgb="FF000000"/>
        <rFont val="Arial"/>
        <charset val="1"/>
      </rPr>
      <t>'</t>
    </r>
    <r>
      <rPr>
        <sz val="10"/>
        <color rgb="FF000000"/>
        <rFont val="나눔고딕"/>
        <family val="2"/>
      </rPr>
      <t>출처 매핑</t>
    </r>
    <r>
      <rPr>
        <sz val="10"/>
        <color rgb="FF000000"/>
        <rFont val="Arial"/>
        <charset val="1"/>
      </rPr>
      <t xml:space="preserve">' </t>
    </r>
    <r>
      <rPr>
        <sz val="10"/>
        <color rgb="FF000000"/>
        <rFont val="나눔고딕"/>
        <family val="2"/>
      </rPr>
      <t>시트에 적었다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</si>
  <si>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>통합 과정에서 확인</t>
    </r>
    <r>
      <rPr>
        <sz val="10"/>
        <color rgb="FF000000"/>
        <rFont val="Arial"/>
        <charset val="1"/>
      </rPr>
      <t>.</t>
    </r>
  </si>
  <si>
    <r>
      <rPr>
        <sz val="10"/>
        <color rgb="FF000000"/>
        <rFont val="나눔고딕"/>
        <family val="2"/>
      </rPr>
      <t>차이가 난 항목은 팀 리뷰에서 최종 확정</t>
    </r>
    <r>
      <rPr>
        <sz val="10"/>
        <color rgb="FF000000"/>
        <rFont val="Arial"/>
        <charset val="1"/>
      </rPr>
      <t>.</t>
    </r>
  </si>
  <si>
    <r>
      <rPr>
        <b/>
        <sz val="14"/>
        <color rgb="FF000000"/>
        <rFont val="나눔고딕"/>
        <family val="2"/>
      </rPr>
      <t xml:space="preserve">출처 매핑 </t>
    </r>
    <r>
      <rPr>
        <b/>
        <sz val="14"/>
        <color rgb="FF000000"/>
        <rFont val="Arial"/>
        <charset val="1"/>
      </rPr>
      <t>(</t>
    </r>
    <r>
      <rPr>
        <b/>
        <sz val="14"/>
        <color rgb="FF000000"/>
        <rFont val="나눔고딕"/>
        <family val="2"/>
      </rPr>
      <t>중복 제거 내역</t>
    </r>
    <r>
      <rPr>
        <b/>
        <sz val="14"/>
        <color rgb="FF000000"/>
        <rFont val="Arial"/>
        <charset val="1"/>
      </rPr>
      <t>)</t>
    </r>
  </si>
  <si>
    <r>
      <rPr>
        <i/>
        <sz val="10"/>
        <color rgb="FF595959"/>
        <rFont val="나눔고딕"/>
        <family val="2"/>
      </rPr>
      <t xml:space="preserve">초안 </t>
    </r>
    <r>
      <rPr>
        <i/>
        <sz val="10"/>
        <color rgb="FF595959"/>
        <rFont val="Arial"/>
        <charset val="1"/>
      </rPr>
      <t xml:space="preserve">B·C </t>
    </r>
    <r>
      <rPr>
        <i/>
        <sz val="10"/>
        <color rgb="FF595959"/>
        <rFont val="나눔고딕"/>
        <family val="2"/>
      </rPr>
      <t>의 각 시나리오가 통합본의 어느 시나리오로 합쳐졌는지 보여 준다</t>
    </r>
    <r>
      <rPr>
        <i/>
        <sz val="10"/>
        <color rgb="FF595959"/>
        <rFont val="Arial"/>
        <charset val="1"/>
      </rPr>
      <t xml:space="preserve">. </t>
    </r>
    <r>
      <rPr>
        <i/>
        <sz val="10"/>
        <color rgb="FF595959"/>
        <rFont val="나눔고딕"/>
        <family val="2"/>
      </rPr>
      <t xml:space="preserve">초안 </t>
    </r>
    <r>
      <rPr>
        <i/>
        <sz val="10"/>
        <color rgb="FF595959"/>
        <rFont val="Arial"/>
        <charset val="1"/>
      </rPr>
      <t>A 65</t>
    </r>
    <r>
      <rPr>
        <i/>
        <sz val="10"/>
        <color rgb="FF595959"/>
        <rFont val="나눔고딕"/>
        <family val="2"/>
      </rPr>
      <t xml:space="preserve">개는 </t>
    </r>
    <r>
      <rPr>
        <i/>
        <sz val="10"/>
        <color rgb="FF595959"/>
        <rFont val="Arial"/>
        <charset val="1"/>
      </rPr>
      <t xml:space="preserve">ID </t>
    </r>
    <r>
      <rPr>
        <i/>
        <sz val="10"/>
        <color rgb="FF595959"/>
        <rFont val="나눔고딕"/>
        <family val="2"/>
      </rPr>
      <t>를 그대로 유지했다</t>
    </r>
    <r>
      <rPr>
        <i/>
        <sz val="10"/>
        <color rgb="FF595959"/>
        <rFont val="Arial"/>
        <charset val="1"/>
      </rPr>
      <t>.</t>
    </r>
  </si>
  <si>
    <t>출처 파일</t>
  </si>
  <si>
    <r>
      <rPr>
        <b/>
        <sz val="10"/>
        <color rgb="FFFFFFFF"/>
        <rFont val="나눔고딕"/>
        <family val="2"/>
      </rPr>
      <t xml:space="preserve">출처 </t>
    </r>
    <r>
      <rPr>
        <b/>
        <sz val="10"/>
        <color rgb="FFFFFFFF"/>
        <rFont val="Arial"/>
        <charset val="1"/>
      </rPr>
      <t>ID</t>
    </r>
  </si>
  <si>
    <t>출처 시나리오</t>
  </si>
  <si>
    <t>처리</t>
  </si>
  <si>
    <r>
      <rPr>
        <b/>
        <sz val="10"/>
        <color rgb="FFFFFFFF"/>
        <rFont val="나눔고딕"/>
        <family val="2"/>
      </rPr>
      <t xml:space="preserve">통합 </t>
    </r>
    <r>
      <rPr>
        <b/>
        <sz val="10"/>
        <color rgb="FFFFFFFF"/>
        <rFont val="Arial"/>
        <charset val="1"/>
      </rPr>
      <t>ID</t>
    </r>
  </si>
  <si>
    <r>
      <rPr>
        <sz val="10"/>
        <color rgb="FF000000"/>
        <rFont val="나눔고딕"/>
        <family val="2"/>
      </rPr>
      <t xml:space="preserve">초안 </t>
    </r>
    <r>
      <rPr>
        <sz val="10"/>
        <color rgb="FF000000"/>
        <rFont val="Arial"/>
        <charset val="1"/>
      </rPr>
      <t>B</t>
    </r>
  </si>
  <si>
    <t>로그인 성공</t>
  </si>
  <si>
    <t>중복 통합</t>
  </si>
  <si>
    <t>비로그인 상태에서 보호된 화면 접근 차단</t>
  </si>
  <si>
    <r>
      <rPr>
        <sz val="10"/>
        <color rgb="FF000000"/>
        <rFont val="나눔고딕"/>
        <family val="2"/>
      </rPr>
      <t>우선순위</t>
    </r>
    <r>
      <rPr>
        <sz val="10"/>
        <color rgb="FF000000"/>
        <rFont val="Arial"/>
        <charset val="1"/>
      </rPr>
      <t xml:space="preserve">: </t>
    </r>
    <r>
      <rPr>
        <sz val="10"/>
        <color rgb="FF000000"/>
        <rFont val="나눔고딕"/>
        <family val="2"/>
      </rPr>
      <t xml:space="preserve">초안 </t>
    </r>
    <r>
      <rPr>
        <sz val="10"/>
        <color rgb="FF000000"/>
        <rFont val="Arial"/>
        <charset val="1"/>
      </rPr>
      <t>B '</t>
    </r>
    <r>
      <rPr>
        <sz val="10"/>
        <color rgb="FF000000"/>
        <rFont val="나눔고딕"/>
        <family val="2"/>
      </rPr>
      <t>중</t>
    </r>
    <r>
      <rPr>
        <sz val="10"/>
        <color rgb="FF000000"/>
        <rFont val="Arial"/>
        <charset val="1"/>
      </rPr>
      <t xml:space="preserve">'(P2) → </t>
    </r>
    <r>
      <rPr>
        <sz val="10"/>
        <color rgb="FF000000"/>
        <rFont val="나눔고딕"/>
        <family val="2"/>
      </rPr>
      <t xml:space="preserve">통합본 </t>
    </r>
    <r>
      <rPr>
        <sz val="10"/>
        <color rgb="FF000000"/>
        <rFont val="Arial"/>
        <charset val="1"/>
      </rPr>
      <t>P1</t>
    </r>
  </si>
  <si>
    <r>
      <rPr>
        <sz val="10"/>
        <color rgb="FF000000"/>
        <rFont val="나눔고딕"/>
        <family val="2"/>
      </rPr>
      <t xml:space="preserve">로그인 상태에서 </t>
    </r>
    <r>
      <rPr>
        <sz val="10"/>
        <color rgb="FF000000"/>
        <rFont val="Arial"/>
        <charset val="1"/>
      </rPr>
      <t xml:space="preserve">/login </t>
    </r>
    <r>
      <rPr>
        <sz val="10"/>
        <color rgb="FF000000"/>
        <rFont val="나눔고딕"/>
        <family val="2"/>
      </rPr>
      <t>접근</t>
    </r>
  </si>
  <si>
    <r>
      <rPr>
        <sz val="10"/>
        <color rgb="FF000000"/>
        <rFont val="나눔고딕"/>
        <family val="2"/>
      </rPr>
      <t xml:space="preserve">비로그인 상태에서 </t>
    </r>
    <r>
      <rPr>
        <sz val="10"/>
        <color rgb="FF000000"/>
        <rFont val="Arial"/>
        <charset val="1"/>
      </rPr>
      <t xml:space="preserve">API </t>
    </r>
    <r>
      <rPr>
        <sz val="10"/>
        <color rgb="FF000000"/>
        <rFont val="나눔고딕"/>
        <family val="2"/>
      </rPr>
      <t xml:space="preserve">호출 시 </t>
    </r>
    <r>
      <rPr>
        <sz val="10"/>
        <color rgb="FF000000"/>
        <rFont val="Arial"/>
        <charset val="1"/>
      </rPr>
      <t>401</t>
    </r>
  </si>
  <si>
    <r>
      <rPr>
        <sz val="10"/>
        <color rgb="FF000000"/>
        <rFont val="나눔고딕"/>
        <family val="2"/>
      </rPr>
      <t>우선순위</t>
    </r>
    <r>
      <rPr>
        <sz val="10"/>
        <color rgb="FF000000"/>
        <rFont val="Arial"/>
        <charset val="1"/>
      </rPr>
      <t xml:space="preserve">: </t>
    </r>
    <r>
      <rPr>
        <sz val="10"/>
        <color rgb="FF000000"/>
        <rFont val="나눔고딕"/>
        <family val="2"/>
      </rPr>
      <t xml:space="preserve">초안 </t>
    </r>
    <r>
      <rPr>
        <sz val="10"/>
        <color rgb="FF000000"/>
        <rFont val="Arial"/>
        <charset val="1"/>
      </rPr>
      <t>B '</t>
    </r>
    <r>
      <rPr>
        <sz val="10"/>
        <color rgb="FF000000"/>
        <rFont val="나눔고딕"/>
        <family val="2"/>
      </rPr>
      <t>하</t>
    </r>
    <r>
      <rPr>
        <sz val="10"/>
        <color rgb="FF000000"/>
        <rFont val="Arial"/>
        <charset val="1"/>
      </rPr>
      <t xml:space="preserve">'(P3) → </t>
    </r>
    <r>
      <rPr>
        <sz val="10"/>
        <color rgb="FF000000"/>
        <rFont val="나눔고딕"/>
        <family val="2"/>
      </rPr>
      <t xml:space="preserve">통합본 </t>
    </r>
    <r>
      <rPr>
        <sz val="10"/>
        <color rgb="FF000000"/>
        <rFont val="Arial"/>
        <charset val="1"/>
      </rPr>
      <t>P2</t>
    </r>
  </si>
  <si>
    <t>NEW-01</t>
  </si>
  <si>
    <t>초기 화면 기본값</t>
  </si>
  <si>
    <t>NEW-02</t>
  </si>
  <si>
    <t>게이지 조정 시 오른쪽 나라가 반대로 조정</t>
  </si>
  <si>
    <r>
      <rPr>
        <sz val="10"/>
        <color rgb="FF000000"/>
        <rFont val="나눔고딕"/>
        <family val="2"/>
      </rPr>
      <t xml:space="preserve">맨 오른쪽 조정은 </t>
    </r>
    <r>
      <rPr>
        <sz val="10"/>
        <color rgb="FF000000"/>
        <rFont val="Arial"/>
        <charset val="1"/>
      </rPr>
      <t xml:space="preserve">SIM-07 </t>
    </r>
    <r>
      <rPr>
        <sz val="10"/>
        <color rgb="FF000000"/>
        <rFont val="나눔고딕"/>
        <family val="2"/>
      </rPr>
      <t>에서 다룸</t>
    </r>
  </si>
  <si>
    <t>NEW-03</t>
  </si>
  <si>
    <t>게이지 값은 인접 나라와의 합을 넘지 못함</t>
  </si>
  <si>
    <t>NEW-04</t>
  </si>
  <si>
    <t>총 생산 필요 수 변경 시 균등 분배</t>
  </si>
  <si>
    <t>NEW-05</t>
  </si>
  <si>
    <r>
      <rPr>
        <sz val="10"/>
        <color rgb="FF000000"/>
        <rFont val="나눔고딕"/>
        <family val="2"/>
      </rPr>
      <t xml:space="preserve">총 생산 필요 수에 </t>
    </r>
    <r>
      <rPr>
        <sz val="10"/>
        <color rgb="FF000000"/>
        <rFont val="Arial"/>
        <charset val="1"/>
      </rPr>
      <t xml:space="preserve">0 </t>
    </r>
    <r>
      <rPr>
        <sz val="10"/>
        <color rgb="FF000000"/>
        <rFont val="나눔고딕"/>
        <family val="2"/>
      </rPr>
      <t>입력 시 이전 값 복귀</t>
    </r>
  </si>
  <si>
    <t>NEW-06</t>
  </si>
  <si>
    <t>입력이 바뀌면 이전 시뮬레이션 결과가 사라짐</t>
  </si>
  <si>
    <r>
      <rPr>
        <sz val="10"/>
        <color rgb="FF000000"/>
        <rFont val="나눔고딕"/>
        <family val="2"/>
      </rPr>
      <t xml:space="preserve">시뮬레이션 실행 시 경로 </t>
    </r>
    <r>
      <rPr>
        <sz val="10"/>
        <color rgb="FF000000"/>
        <rFont val="Arial"/>
        <charset val="1"/>
      </rPr>
      <t>3</t>
    </r>
    <r>
      <rPr>
        <sz val="10"/>
        <color rgb="FF000000"/>
        <rFont val="나눔고딕"/>
        <family val="2"/>
      </rPr>
      <t>개 표시</t>
    </r>
  </si>
  <si>
    <t>경로 선택 전환</t>
  </si>
  <si>
    <r>
      <rPr>
        <sz val="10"/>
        <color rgb="FF000000"/>
        <rFont val="나눔고딕"/>
        <family val="2"/>
      </rPr>
      <t>총량 상한</t>
    </r>
    <r>
      <rPr>
        <sz val="10"/>
        <color rgb="FF000000"/>
        <rFont val="Arial"/>
        <charset val="1"/>
      </rPr>
      <t xml:space="preserve">(100,000K) </t>
    </r>
    <r>
      <rPr>
        <sz val="10"/>
        <color rgb="FF000000"/>
        <rFont val="나눔고딕"/>
        <family val="2"/>
      </rPr>
      <t>초과 시 오류</t>
    </r>
  </si>
  <si>
    <t>지도 애니메이션 영역 표시</t>
  </si>
  <si>
    <t>CONF-01</t>
  </si>
  <si>
    <t>주문 확정 후 상세 화면으로 이동</t>
  </si>
  <si>
    <t>CONF-02</t>
  </si>
  <si>
    <t>메모와 함께 확정</t>
  </si>
  <si>
    <t>CONF-03</t>
  </si>
  <si>
    <t>시뮬레이션 후 마스터가 바뀌면 확정 거부</t>
  </si>
  <si>
    <t>LIST-01</t>
  </si>
  <si>
    <t>목록 표시와 상태별 건수</t>
  </si>
  <si>
    <t>LIST-02</t>
  </si>
  <si>
    <t>상태 필터</t>
  </si>
  <si>
    <t>LIST-03</t>
  </si>
  <si>
    <t>LIST-04</t>
  </si>
  <si>
    <t>행 클릭으로 상세 이동</t>
  </si>
  <si>
    <t>STAT-01</t>
  </si>
  <si>
    <t>확정 → 진행</t>
  </si>
  <si>
    <t>STAT-02</t>
  </si>
  <si>
    <t>STAT-03</t>
  </si>
  <si>
    <t>확인창에서 취소하면 상태 불변</t>
  </si>
  <si>
    <t>STAT-04</t>
  </si>
  <si>
    <t>확정 상태에서는 완료로 바로 갈 수 없음</t>
  </si>
  <si>
    <t>신규 반영</t>
  </si>
  <si>
    <t>STAT-05</t>
  </si>
  <si>
    <t>동시 변경 충돌</t>
  </si>
  <si>
    <t>STAT-06</t>
  </si>
  <si>
    <r>
      <rPr>
        <sz val="10"/>
        <color rgb="FF000000"/>
        <rFont val="Arial"/>
        <charset val="1"/>
      </rPr>
      <t>[</t>
    </r>
    <r>
      <rPr>
        <sz val="10"/>
        <color rgb="FF000000"/>
        <rFont val="나눔고딕"/>
        <family val="2"/>
      </rPr>
      <t>탐색</t>
    </r>
    <r>
      <rPr>
        <sz val="10"/>
        <color rgb="FF000000"/>
        <rFont val="Arial"/>
        <charset val="1"/>
      </rPr>
      <t xml:space="preserve">] </t>
    </r>
    <r>
      <rPr>
        <sz val="10"/>
        <color rgb="FF000000"/>
        <rFont val="나눔고딕"/>
        <family val="2"/>
      </rPr>
      <t>확정</t>
    </r>
    <r>
      <rPr>
        <sz val="10"/>
        <color rgb="FF000000"/>
        <rFont val="Arial"/>
        <charset val="1"/>
      </rPr>
      <t>/</t>
    </r>
    <r>
      <rPr>
        <sz val="10"/>
        <color rgb="FF000000"/>
        <rFont val="나눔고딕"/>
        <family val="2"/>
      </rPr>
      <t>진행 주문 취소</t>
    </r>
  </si>
  <si>
    <t>MAST-01</t>
  </si>
  <si>
    <t>현재 값 표시</t>
  </si>
  <si>
    <t>MAST-02</t>
  </si>
  <si>
    <t>값 수정 후 저장 성공</t>
  </si>
  <si>
    <t>MAST-03</t>
  </si>
  <si>
    <t>잘못된 값은 저장되지 않고 이유 표시</t>
  </si>
  <si>
    <t>MAST-04</t>
  </si>
  <si>
    <t>마스터 수정 후에도 기존 주문 상세는 그대로</t>
  </si>
  <si>
    <t>NAV-01</t>
  </si>
  <si>
    <t>상단 메뉴 이동</t>
  </si>
  <si>
    <r>
      <rPr>
        <sz val="10"/>
        <color rgb="FF000000"/>
        <rFont val="나눔고딕"/>
        <family val="2"/>
      </rPr>
      <t xml:space="preserve">초안 </t>
    </r>
    <r>
      <rPr>
        <sz val="10"/>
        <color rgb="FF000000"/>
        <rFont val="Arial"/>
        <charset val="1"/>
      </rPr>
      <t>C</t>
    </r>
  </si>
  <si>
    <t>#1</t>
  </si>
  <si>
    <t>로그인과 접근 제한</t>
  </si>
  <si>
    <t>AUTH-01, AUTH-02, AUTH-03, AUTH-06</t>
  </si>
  <si>
    <t>흐름형 시나리오를 원자 시나리오로 나눠 흡수</t>
  </si>
  <si>
    <t>#2</t>
  </si>
  <si>
    <t>수량 조절과 기본 시뮬레이션</t>
  </si>
  <si>
    <t>SIM-02, SIM-03, SIM-04, SIM-06, SIM-15</t>
  </si>
  <si>
    <t>#3</t>
  </si>
  <si>
    <t>입력 경계값 검증</t>
  </si>
  <si>
    <t>SIM-10, SIM-12, SIM-13</t>
  </si>
  <si>
    <t>#4</t>
  </si>
  <si>
    <t>재고 상한 초과 주문의 나눠 수거</t>
  </si>
  <si>
    <t>일부 신규 반영</t>
  </si>
  <si>
    <r>
      <rPr>
        <sz val="10"/>
        <color rgb="FF000000"/>
        <rFont val="나눔고딕"/>
        <family val="2"/>
      </rPr>
      <t xml:space="preserve">흐름형 시나리오를 원자 시나리오로 나눠 흡수 </t>
    </r>
    <r>
      <rPr>
        <sz val="10"/>
        <color rgb="FF000000"/>
        <rFont val="Arial"/>
        <charset val="1"/>
      </rPr>
      <t xml:space="preserve">(SIM-18 </t>
    </r>
    <r>
      <rPr>
        <sz val="10"/>
        <color rgb="FF000000"/>
        <rFont val="나눔고딕"/>
        <family val="2"/>
      </rPr>
      <t xml:space="preserve">은 초안 </t>
    </r>
    <r>
      <rPr>
        <sz val="10"/>
        <color rgb="FF000000"/>
        <rFont val="Arial"/>
        <charset val="1"/>
      </rPr>
      <t>C</t>
    </r>
    <r>
      <rPr>
        <sz val="10"/>
        <color rgb="FF000000"/>
        <rFont val="나눔고딕"/>
        <family val="2"/>
      </rPr>
      <t>의 고유 내용</t>
    </r>
    <r>
      <rPr>
        <sz val="10"/>
        <color rgb="FF000000"/>
        <rFont val="Arial"/>
        <charset val="1"/>
      </rPr>
      <t>)</t>
    </r>
  </si>
  <si>
    <t>#5</t>
  </si>
  <si>
    <t>주문 확정과 상세 화면</t>
  </si>
  <si>
    <t>CNF-01, CNF-03, DTL-01</t>
  </si>
  <si>
    <t>#6</t>
  </si>
  <si>
    <t>상태 흐름과 목록 필터</t>
  </si>
  <si>
    <t>DTL-02, DTL-03, DTL-09, LST-02</t>
  </si>
  <si>
    <t>#7</t>
  </si>
  <si>
    <t>동시에 상태를 바꿀 때의 충돌</t>
  </si>
  <si>
    <t>#8</t>
  </si>
  <si>
    <t>주문 취소</t>
  </si>
  <si>
    <t>#9</t>
  </si>
  <si>
    <t>기준값 변경 후 확정 충돌과 기존 주문 보존</t>
  </si>
  <si>
    <t>CNF-06, FLOW-02, MST-02, MST-09</t>
  </si>
  <si>
    <t>#10</t>
  </si>
  <si>
    <t>기준값 검증과 저장 거부</t>
  </si>
  <si>
    <t>MST-03, MST-04, MST-07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</si>
</sst>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8" x14ac:knownFonts="1">
    <font>
      <sz val="11"/>
      <color theme="1"/>
      <name val="나눔고딕"/>
      <family val="2"/>
    </font>
    <font>
      <b/>
      <sz val="14"/>
      <color rgb="FF000000"/>
      <name val="Arial"/>
      <charset val="1"/>
    </font>
    <font>
      <b/>
      <sz val="14"/>
      <color rgb="FF000000"/>
      <name val="나눔고딕"/>
      <family val="2"/>
    </font>
    <font>
      <sz val="10"/>
      <color rgb="FF000000"/>
      <name val="나눔고딕"/>
      <family val="2"/>
    </font>
    <font>
      <b/>
      <sz val="11"/>
      <color rgb="FF1F4E78"/>
      <name val="Arial"/>
      <charset val="1"/>
    </font>
    <font>
      <b/>
      <sz val="11"/>
      <color rgb="FF1F4E78"/>
      <name val="나눔고딕"/>
      <family val="2"/>
    </font>
    <font>
      <sz val="10"/>
      <color rgb="FF000000"/>
      <name val="Arial"/>
      <charset val="1"/>
    </font>
    <font>
      <i/>
      <sz val="10"/>
      <color rgb="FF595959"/>
      <name val="나눔고딕"/>
      <family val="2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FFFFFF"/>
      <name val="나눔고딕"/>
      <family val="2"/>
    </font>
    <font>
      <b/>
      <sz val="10"/>
      <color rgb="FF000000"/>
      <name val="나눔고딕"/>
      <family val="2"/>
    </font>
    <font>
      <b/>
      <sz val="10"/>
      <color rgb="FF000000"/>
      <name val="Arial"/>
      <charset val="1"/>
    </font>
    <font>
      <b/>
      <sz val="12"/>
      <color rgb="FF000000"/>
      <name val="나눔고딕"/>
      <family val="2"/>
    </font>
    <font>
      <b/>
      <sz val="12"/>
      <color rgb="FF000000"/>
      <name val="Arial"/>
      <charset val="1"/>
    </font>
    <font>
      <sz val="10"/>
      <color rgb="FF0000FF"/>
      <name val="Arial"/>
      <charset val="1"/>
    </font>
    <font>
      <sz val="11"/>
      <color theme="1"/>
      <name val="Calibri"/>
      <family val="2"/>
      <charset val="1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0" borderId="0" xfId="0" applyFont="1"/>
    <xf numFmtId="0" fontId="7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176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0" fontId="12" fillId="6" borderId="1" xfId="0" applyFont="1" applyFill="1" applyBorder="1" applyAlignment="1">
      <alignment horizontal="center"/>
    </xf>
    <xf numFmtId="176" fontId="12" fillId="6" borderId="1" xfId="0" applyNumberFormat="1" applyFont="1" applyFill="1" applyBorder="1" applyAlignment="1">
      <alignment horizontal="center"/>
    </xf>
    <xf numFmtId="0" fontId="13" fillId="0" borderId="0" xfId="0" applyFont="1"/>
    <xf numFmtId="0" fontId="3" fillId="0" borderId="1" xfId="0" applyFont="1" applyBorder="1"/>
    <xf numFmtId="0" fontId="6" fillId="0" borderId="1" xfId="0" applyFont="1" applyBorder="1"/>
    <xf numFmtId="0" fontId="8" fillId="0" borderId="0" xfId="0" applyFont="1"/>
    <xf numFmtId="0" fontId="15" fillId="0" borderId="1" xfId="0" applyFont="1" applyBorder="1"/>
    <xf numFmtId="0" fontId="11" fillId="0" borderId="1" xfId="0" applyFont="1" applyBorder="1"/>
    <xf numFmtId="0" fontId="4" fillId="0" borderId="0" xfId="0" applyFont="1"/>
    <xf numFmtId="0" fontId="0" fillId="0" borderId="1" xfId="0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2" fontId="16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3" fontId="15" fillId="0" borderId="1" xfId="0" applyNumberFormat="1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zoomScaleNormal="100" workbookViewId="0"/>
  </sheetViews>
  <sheetFormatPr defaultColWidth="7.21875" defaultRowHeight="14.25" x14ac:dyDescent="0.2"/>
  <cols>
    <col min="1" max="1" width="108.44140625" customWidth="1"/>
  </cols>
  <sheetData>
    <row r="1" spans="1:1" ht="18" x14ac:dyDescent="0.2">
      <c r="A1" s="1" t="s">
        <v>0</v>
      </c>
    </row>
    <row r="2" spans="1:1" x14ac:dyDescent="0.2">
      <c r="A2" s="2"/>
    </row>
    <row r="3" spans="1:1" ht="15" x14ac:dyDescent="0.2">
      <c r="A3" s="3" t="s">
        <v>1</v>
      </c>
    </row>
    <row r="4" spans="1:1" x14ac:dyDescent="0.2">
      <c r="A4" s="2" t="s">
        <v>2</v>
      </c>
    </row>
    <row r="5" spans="1:1" x14ac:dyDescent="0.2">
      <c r="A5" s="2"/>
    </row>
    <row r="6" spans="1:1" ht="15" x14ac:dyDescent="0.2">
      <c r="A6" s="3" t="s">
        <v>3</v>
      </c>
    </row>
    <row r="7" spans="1:1" x14ac:dyDescent="0.2">
      <c r="A7" s="2" t="s">
        <v>4</v>
      </c>
    </row>
    <row r="8" spans="1:1" x14ac:dyDescent="0.2">
      <c r="A8" s="4" t="s">
        <v>5</v>
      </c>
    </row>
    <row r="9" spans="1:1" x14ac:dyDescent="0.2">
      <c r="A9" s="4" t="s">
        <v>6</v>
      </c>
    </row>
    <row r="10" spans="1:1" x14ac:dyDescent="0.2">
      <c r="A10" s="4" t="s">
        <v>7</v>
      </c>
    </row>
    <row r="11" spans="1:1" x14ac:dyDescent="0.2">
      <c r="A11" s="4" t="s">
        <v>8</v>
      </c>
    </row>
    <row r="12" spans="1:1" x14ac:dyDescent="0.2">
      <c r="A12" s="2"/>
    </row>
    <row r="13" spans="1:1" ht="15" x14ac:dyDescent="0.2">
      <c r="A13" s="3" t="s">
        <v>9</v>
      </c>
    </row>
    <row r="14" spans="1:1" x14ac:dyDescent="0.2">
      <c r="A14" s="2" t="s">
        <v>10</v>
      </c>
    </row>
    <row r="15" spans="1:1" x14ac:dyDescent="0.2">
      <c r="A15" s="2" t="s">
        <v>11</v>
      </c>
    </row>
    <row r="16" spans="1:1" x14ac:dyDescent="0.2">
      <c r="A16" s="4" t="s">
        <v>12</v>
      </c>
    </row>
    <row r="17" spans="1:1" x14ac:dyDescent="0.2">
      <c r="A17" s="2" t="s">
        <v>13</v>
      </c>
    </row>
    <row r="18" spans="1:1" x14ac:dyDescent="0.2">
      <c r="A18" s="2" t="s">
        <v>14</v>
      </c>
    </row>
    <row r="19" spans="1:1" x14ac:dyDescent="0.2">
      <c r="A19" s="2"/>
    </row>
    <row r="20" spans="1:1" ht="15" x14ac:dyDescent="0.2">
      <c r="A20" s="3" t="s">
        <v>15</v>
      </c>
    </row>
    <row r="21" spans="1:1" x14ac:dyDescent="0.2">
      <c r="A21" s="2" t="s">
        <v>16</v>
      </c>
    </row>
    <row r="22" spans="1:1" x14ac:dyDescent="0.2">
      <c r="A22" s="2" t="s">
        <v>17</v>
      </c>
    </row>
    <row r="23" spans="1:1" x14ac:dyDescent="0.2">
      <c r="A23" s="2" t="s">
        <v>18</v>
      </c>
    </row>
    <row r="24" spans="1:1" x14ac:dyDescent="0.2">
      <c r="A24" s="2"/>
    </row>
    <row r="25" spans="1:1" ht="15" x14ac:dyDescent="0.2">
      <c r="A25" s="3" t="s">
        <v>19</v>
      </c>
    </row>
    <row r="26" spans="1:1" x14ac:dyDescent="0.2">
      <c r="A26" s="4" t="s">
        <v>20</v>
      </c>
    </row>
    <row r="27" spans="1:1" x14ac:dyDescent="0.2">
      <c r="A27" s="4" t="s">
        <v>21</v>
      </c>
    </row>
    <row r="28" spans="1:1" x14ac:dyDescent="0.2">
      <c r="A28" s="4" t="s">
        <v>22</v>
      </c>
    </row>
    <row r="29" spans="1:1" x14ac:dyDescent="0.2">
      <c r="A29" s="4" t="s">
        <v>23</v>
      </c>
    </row>
    <row r="30" spans="1:1" x14ac:dyDescent="0.2">
      <c r="A30" s="2"/>
    </row>
    <row r="31" spans="1:1" ht="15" x14ac:dyDescent="0.2">
      <c r="A31" s="3" t="s">
        <v>24</v>
      </c>
    </row>
    <row r="32" spans="1:1" x14ac:dyDescent="0.2">
      <c r="A32" s="4" t="s">
        <v>25</v>
      </c>
    </row>
    <row r="33" spans="1:1" x14ac:dyDescent="0.2">
      <c r="A33" s="4" t="s">
        <v>26</v>
      </c>
    </row>
    <row r="34" spans="1:1" x14ac:dyDescent="0.2">
      <c r="A34" s="4" t="s">
        <v>27</v>
      </c>
    </row>
    <row r="35" spans="1:1" x14ac:dyDescent="0.2">
      <c r="A35" s="4" t="s">
        <v>28</v>
      </c>
    </row>
    <row r="36" spans="1:1" x14ac:dyDescent="0.2">
      <c r="A36" s="4" t="s">
        <v>29</v>
      </c>
    </row>
    <row r="37" spans="1:1" x14ac:dyDescent="0.2">
      <c r="A37" s="4" t="s">
        <v>30</v>
      </c>
    </row>
  </sheetData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8"/>
  <sheetViews>
    <sheetView tabSelected="1" zoomScaleNormal="100" workbookViewId="0">
      <pane xSplit="3" ySplit="4" topLeftCell="D49" activePane="bottomRight" state="frozen"/>
      <selection pane="topRight" activeCell="D1" sqref="D1"/>
      <selection pane="bottomLeft" activeCell="A5" sqref="A5"/>
      <selection pane="bottomRight" activeCell="G54" sqref="G54"/>
    </sheetView>
  </sheetViews>
  <sheetFormatPr defaultColWidth="7.21875" defaultRowHeight="14.25" x14ac:dyDescent="0.2"/>
  <cols>
    <col min="1" max="1" width="7.5546875" customWidth="1"/>
    <col min="2" max="2" width="12.5546875" customWidth="1"/>
    <col min="3" max="3" width="28.33203125" customWidth="1"/>
    <col min="4" max="4" width="5.88671875" customWidth="1"/>
    <col min="5" max="5" width="6.6640625" customWidth="1"/>
    <col min="6" max="6" width="21.6640625" customWidth="1"/>
    <col min="7" max="7" width="38.33203125" customWidth="1"/>
    <col min="8" max="8" width="43.44140625" customWidth="1"/>
    <col min="9" max="9" width="11.6640625" customWidth="1"/>
    <col min="10" max="10" width="23.33203125" customWidth="1"/>
    <col min="11" max="11" width="5.88671875" customWidth="1"/>
    <col min="12" max="12" width="13.33203125" customWidth="1"/>
    <col min="13" max="13" width="9.21875" customWidth="1"/>
    <col min="14" max="14" width="8.33203125" customWidth="1"/>
    <col min="15" max="15" width="31.6640625" customWidth="1"/>
  </cols>
  <sheetData>
    <row r="1" spans="1:15" ht="18" x14ac:dyDescent="0.25">
      <c r="A1" s="5" t="s">
        <v>31</v>
      </c>
    </row>
    <row r="2" spans="1:15" x14ac:dyDescent="0.2">
      <c r="A2" s="6"/>
    </row>
    <row r="4" spans="1:15" ht="30" customHeight="1" x14ac:dyDescent="0.2">
      <c r="A4" s="7" t="s">
        <v>32</v>
      </c>
      <c r="B4" s="8" t="s">
        <v>33</v>
      </c>
      <c r="C4" s="8" t="s">
        <v>34</v>
      </c>
      <c r="D4" s="8" t="s">
        <v>35</v>
      </c>
      <c r="E4" s="8" t="s">
        <v>36</v>
      </c>
      <c r="F4" s="8" t="s">
        <v>37</v>
      </c>
      <c r="G4" s="8" t="s">
        <v>38</v>
      </c>
      <c r="H4" s="8" t="s">
        <v>39</v>
      </c>
      <c r="I4" s="8" t="s">
        <v>40</v>
      </c>
      <c r="J4" s="8" t="s">
        <v>41</v>
      </c>
      <c r="K4" s="7" t="s">
        <v>42</v>
      </c>
      <c r="L4" s="8" t="s">
        <v>43</v>
      </c>
      <c r="M4" s="8" t="s">
        <v>44</v>
      </c>
      <c r="N4" s="8" t="s">
        <v>45</v>
      </c>
      <c r="O4" s="8" t="s">
        <v>46</v>
      </c>
    </row>
    <row r="5" spans="1:15" ht="38.25" x14ac:dyDescent="0.2">
      <c r="A5" s="9" t="s">
        <v>47</v>
      </c>
      <c r="B5" s="10" t="s">
        <v>48</v>
      </c>
      <c r="C5" s="10" t="s">
        <v>49</v>
      </c>
      <c r="D5" s="11" t="s">
        <v>50</v>
      </c>
      <c r="E5" s="9" t="s">
        <v>51</v>
      </c>
      <c r="F5" s="10" t="s">
        <v>52</v>
      </c>
      <c r="G5" s="12" t="s">
        <v>53</v>
      </c>
      <c r="H5" s="12" t="s">
        <v>54</v>
      </c>
      <c r="I5" s="9" t="s">
        <v>55</v>
      </c>
      <c r="J5" s="12" t="s">
        <v>56</v>
      </c>
      <c r="K5" s="9" t="s">
        <v>57</v>
      </c>
      <c r="L5" s="11" t="s">
        <v>58</v>
      </c>
      <c r="M5" s="13"/>
      <c r="N5" s="14" t="s">
        <v>59</v>
      </c>
      <c r="O5" s="10"/>
    </row>
    <row r="6" spans="1:15" ht="38.25" x14ac:dyDescent="0.2">
      <c r="A6" s="9" t="s">
        <v>60</v>
      </c>
      <c r="B6" s="10" t="s">
        <v>48</v>
      </c>
      <c r="C6" s="12" t="s">
        <v>61</v>
      </c>
      <c r="D6" s="11" t="s">
        <v>62</v>
      </c>
      <c r="E6" s="9" t="s">
        <v>51</v>
      </c>
      <c r="F6" s="10" t="s">
        <v>63</v>
      </c>
      <c r="G6" s="12" t="s">
        <v>64</v>
      </c>
      <c r="H6" s="12" t="s">
        <v>65</v>
      </c>
      <c r="I6" s="9" t="s">
        <v>66</v>
      </c>
      <c r="J6" s="12" t="s">
        <v>67</v>
      </c>
      <c r="K6" s="9" t="s">
        <v>57</v>
      </c>
      <c r="L6" s="11" t="s">
        <v>68</v>
      </c>
      <c r="M6" s="13"/>
      <c r="N6" s="14" t="s">
        <v>59</v>
      </c>
      <c r="O6" s="10"/>
    </row>
    <row r="7" spans="1:15" ht="38.25" x14ac:dyDescent="0.2">
      <c r="A7" s="9" t="s">
        <v>69</v>
      </c>
      <c r="B7" s="10" t="s">
        <v>48</v>
      </c>
      <c r="C7" s="10" t="s">
        <v>70</v>
      </c>
      <c r="D7" s="11" t="s">
        <v>50</v>
      </c>
      <c r="E7" s="9" t="s">
        <v>51</v>
      </c>
      <c r="F7" s="10" t="s">
        <v>63</v>
      </c>
      <c r="G7" s="12" t="s">
        <v>71</v>
      </c>
      <c r="H7" s="10" t="s">
        <v>72</v>
      </c>
      <c r="I7" s="9" t="s">
        <v>55</v>
      </c>
      <c r="J7" s="12" t="s">
        <v>73</v>
      </c>
      <c r="K7" s="9" t="s">
        <v>57</v>
      </c>
      <c r="L7" s="11" t="s">
        <v>58</v>
      </c>
      <c r="M7" s="13"/>
      <c r="N7" s="14" t="s">
        <v>59</v>
      </c>
      <c r="O7" s="10"/>
    </row>
    <row r="8" spans="1:15" x14ac:dyDescent="0.2">
      <c r="A8" s="9" t="s">
        <v>74</v>
      </c>
      <c r="B8" s="10" t="s">
        <v>48</v>
      </c>
      <c r="C8" s="10" t="s">
        <v>75</v>
      </c>
      <c r="D8" s="11" t="s">
        <v>62</v>
      </c>
      <c r="E8" s="9" t="s">
        <v>76</v>
      </c>
      <c r="F8" s="10" t="s">
        <v>77</v>
      </c>
      <c r="G8" s="12" t="s">
        <v>78</v>
      </c>
      <c r="H8" s="12" t="s">
        <v>79</v>
      </c>
      <c r="I8" s="9" t="s">
        <v>55</v>
      </c>
      <c r="J8" s="12" t="s">
        <v>80</v>
      </c>
      <c r="K8" s="9" t="s">
        <v>57</v>
      </c>
      <c r="L8" s="11" t="s">
        <v>68</v>
      </c>
      <c r="M8" s="13"/>
      <c r="N8" s="14" t="s">
        <v>59</v>
      </c>
      <c r="O8" s="10"/>
    </row>
    <row r="9" spans="1:15" ht="25.5" x14ac:dyDescent="0.2">
      <c r="A9" s="9" t="s">
        <v>81</v>
      </c>
      <c r="B9" s="10" t="s">
        <v>48</v>
      </c>
      <c r="C9" s="10" t="s">
        <v>82</v>
      </c>
      <c r="D9" s="11" t="s">
        <v>62</v>
      </c>
      <c r="E9" s="9" t="s">
        <v>51</v>
      </c>
      <c r="F9" s="10" t="s">
        <v>77</v>
      </c>
      <c r="G9" s="12" t="s">
        <v>83</v>
      </c>
      <c r="H9" s="12" t="s">
        <v>84</v>
      </c>
      <c r="I9" s="9" t="s">
        <v>55</v>
      </c>
      <c r="J9" s="12" t="s">
        <v>85</v>
      </c>
      <c r="K9" s="9" t="s">
        <v>57</v>
      </c>
      <c r="L9" s="11" t="s">
        <v>68</v>
      </c>
      <c r="M9" s="13"/>
      <c r="N9" s="14" t="s">
        <v>59</v>
      </c>
      <c r="O9" s="10"/>
    </row>
    <row r="10" spans="1:15" x14ac:dyDescent="0.2">
      <c r="A10" s="9" t="s">
        <v>86</v>
      </c>
      <c r="B10" s="10" t="s">
        <v>48</v>
      </c>
      <c r="C10" s="10" t="s">
        <v>87</v>
      </c>
      <c r="D10" s="11" t="s">
        <v>62</v>
      </c>
      <c r="E10" s="9" t="s">
        <v>76</v>
      </c>
      <c r="F10" s="10" t="s">
        <v>77</v>
      </c>
      <c r="G10" s="12" t="s">
        <v>88</v>
      </c>
      <c r="H10" s="10" t="s">
        <v>89</v>
      </c>
      <c r="I10" s="9" t="s">
        <v>90</v>
      </c>
      <c r="J10" s="12" t="s">
        <v>91</v>
      </c>
      <c r="K10" s="9" t="s">
        <v>57</v>
      </c>
      <c r="L10" s="11" t="s">
        <v>92</v>
      </c>
      <c r="M10" s="13"/>
      <c r="N10" s="14" t="s">
        <v>59</v>
      </c>
      <c r="O10" s="10"/>
    </row>
    <row r="11" spans="1:15" ht="25.5" x14ac:dyDescent="0.2">
      <c r="A11" s="9" t="s">
        <v>93</v>
      </c>
      <c r="B11" s="10" t="s">
        <v>48</v>
      </c>
      <c r="C11" s="10" t="s">
        <v>94</v>
      </c>
      <c r="D11" s="11" t="s">
        <v>50</v>
      </c>
      <c r="E11" s="9" t="s">
        <v>95</v>
      </c>
      <c r="F11" s="10" t="s">
        <v>63</v>
      </c>
      <c r="G11" s="12" t="s">
        <v>96</v>
      </c>
      <c r="H11" s="10" t="s">
        <v>97</v>
      </c>
      <c r="I11" s="9" t="s">
        <v>55</v>
      </c>
      <c r="J11" s="12" t="s">
        <v>98</v>
      </c>
      <c r="K11" s="9" t="s">
        <v>57</v>
      </c>
      <c r="L11" s="11" t="s">
        <v>68</v>
      </c>
      <c r="M11" s="13"/>
      <c r="N11" s="14" t="s">
        <v>59</v>
      </c>
      <c r="O11" s="10"/>
    </row>
    <row r="12" spans="1:15" x14ac:dyDescent="0.2">
      <c r="A12" s="9" t="s">
        <v>99</v>
      </c>
      <c r="B12" s="10" t="s">
        <v>48</v>
      </c>
      <c r="C12" s="10" t="s">
        <v>100</v>
      </c>
      <c r="D12" s="11" t="s">
        <v>62</v>
      </c>
      <c r="E12" s="9" t="s">
        <v>76</v>
      </c>
      <c r="F12" s="10" t="s">
        <v>63</v>
      </c>
      <c r="G12" s="12" t="s">
        <v>101</v>
      </c>
      <c r="H12" s="12" t="s">
        <v>102</v>
      </c>
      <c r="I12" s="9" t="s">
        <v>55</v>
      </c>
      <c r="J12" s="12" t="s">
        <v>103</v>
      </c>
      <c r="K12" s="9" t="s">
        <v>57</v>
      </c>
      <c r="L12" s="11" t="s">
        <v>92</v>
      </c>
      <c r="M12" s="13"/>
      <c r="N12" s="14" t="s">
        <v>59</v>
      </c>
      <c r="O12" s="10"/>
    </row>
    <row r="13" spans="1:15" ht="25.5" x14ac:dyDescent="0.2">
      <c r="A13" s="15" t="s">
        <v>104</v>
      </c>
      <c r="B13" s="10" t="s">
        <v>48</v>
      </c>
      <c r="C13" s="10" t="s">
        <v>105</v>
      </c>
      <c r="D13" s="11" t="s">
        <v>50</v>
      </c>
      <c r="E13" s="9" t="s">
        <v>95</v>
      </c>
      <c r="F13" s="10" t="s">
        <v>106</v>
      </c>
      <c r="G13" s="12" t="s">
        <v>107</v>
      </c>
      <c r="H13" s="12" t="s">
        <v>108</v>
      </c>
      <c r="I13" s="9" t="s">
        <v>55</v>
      </c>
      <c r="J13" s="12" t="s">
        <v>98</v>
      </c>
      <c r="K13" s="9" t="s">
        <v>57</v>
      </c>
      <c r="L13" s="11" t="s">
        <v>92</v>
      </c>
      <c r="M13" s="13"/>
      <c r="N13" s="14" t="s">
        <v>59</v>
      </c>
      <c r="O13" s="10" t="s">
        <v>109</v>
      </c>
    </row>
    <row r="14" spans="1:15" ht="38.25" x14ac:dyDescent="0.2">
      <c r="A14" s="9" t="s">
        <v>110</v>
      </c>
      <c r="B14" s="10" t="s">
        <v>111</v>
      </c>
      <c r="C14" s="10" t="s">
        <v>112</v>
      </c>
      <c r="D14" s="11" t="s">
        <v>62</v>
      </c>
      <c r="E14" s="9" t="s">
        <v>51</v>
      </c>
      <c r="F14" s="10" t="s">
        <v>77</v>
      </c>
      <c r="G14" s="12" t="s">
        <v>113</v>
      </c>
      <c r="H14" s="10" t="s">
        <v>114</v>
      </c>
      <c r="I14" s="9" t="s">
        <v>115</v>
      </c>
      <c r="J14" s="12" t="s">
        <v>116</v>
      </c>
      <c r="K14" s="9" t="s">
        <v>57</v>
      </c>
      <c r="L14" s="11" t="s">
        <v>68</v>
      </c>
      <c r="M14" s="13"/>
      <c r="N14" s="14" t="s">
        <v>59</v>
      </c>
      <c r="O14" s="10" t="s">
        <v>117</v>
      </c>
    </row>
    <row r="15" spans="1:15" ht="38.25" x14ac:dyDescent="0.2">
      <c r="A15" s="9" t="s">
        <v>118</v>
      </c>
      <c r="B15" s="10" t="s">
        <v>111</v>
      </c>
      <c r="C15" s="10" t="s">
        <v>119</v>
      </c>
      <c r="D15" s="11" t="s">
        <v>62</v>
      </c>
      <c r="E15" s="9" t="s">
        <v>51</v>
      </c>
      <c r="F15" s="12" t="s">
        <v>120</v>
      </c>
      <c r="G15" s="12" t="s">
        <v>121</v>
      </c>
      <c r="H15" s="10" t="s">
        <v>122</v>
      </c>
      <c r="I15" s="9" t="s">
        <v>123</v>
      </c>
      <c r="J15" s="12" t="s">
        <v>124</v>
      </c>
      <c r="K15" s="9" t="s">
        <v>57</v>
      </c>
      <c r="L15" s="11" t="s">
        <v>58</v>
      </c>
      <c r="M15" s="13"/>
      <c r="N15" s="14" t="s">
        <v>59</v>
      </c>
      <c r="O15" s="10"/>
    </row>
    <row r="16" spans="1:15" ht="25.5" x14ac:dyDescent="0.2">
      <c r="A16" s="9" t="s">
        <v>125</v>
      </c>
      <c r="B16" s="10" t="s">
        <v>111</v>
      </c>
      <c r="C16" s="10" t="s">
        <v>126</v>
      </c>
      <c r="D16" s="11" t="s">
        <v>62</v>
      </c>
      <c r="E16" s="9" t="s">
        <v>95</v>
      </c>
      <c r="F16" s="12" t="s">
        <v>127</v>
      </c>
      <c r="G16" s="12" t="s">
        <v>128</v>
      </c>
      <c r="H16" s="10" t="s">
        <v>129</v>
      </c>
      <c r="I16" s="9" t="s">
        <v>130</v>
      </c>
      <c r="J16" s="12" t="s">
        <v>131</v>
      </c>
      <c r="K16" s="9" t="s">
        <v>57</v>
      </c>
      <c r="L16" s="11" t="s">
        <v>68</v>
      </c>
      <c r="M16" s="13"/>
      <c r="N16" s="14" t="s">
        <v>59</v>
      </c>
      <c r="O16" s="10"/>
    </row>
    <row r="17" spans="1:15" ht="25.5" x14ac:dyDescent="0.2">
      <c r="A17" s="9" t="s">
        <v>132</v>
      </c>
      <c r="B17" s="10" t="s">
        <v>111</v>
      </c>
      <c r="C17" s="12" t="s">
        <v>133</v>
      </c>
      <c r="D17" s="11" t="s">
        <v>62</v>
      </c>
      <c r="E17" s="9" t="s">
        <v>95</v>
      </c>
      <c r="F17" s="12" t="s">
        <v>127</v>
      </c>
      <c r="G17" s="12" t="s">
        <v>134</v>
      </c>
      <c r="H17" s="10" t="s">
        <v>135</v>
      </c>
      <c r="I17" s="9" t="s">
        <v>136</v>
      </c>
      <c r="J17" s="12" t="s">
        <v>137</v>
      </c>
      <c r="K17" s="9" t="s">
        <v>57</v>
      </c>
      <c r="L17" s="11" t="s">
        <v>92</v>
      </c>
      <c r="M17" s="13"/>
      <c r="N17" s="14" t="s">
        <v>59</v>
      </c>
      <c r="O17" s="10" t="s">
        <v>138</v>
      </c>
    </row>
    <row r="18" spans="1:15" ht="25.5" x14ac:dyDescent="0.2">
      <c r="A18" s="9" t="s">
        <v>139</v>
      </c>
      <c r="B18" s="10" t="s">
        <v>111</v>
      </c>
      <c r="C18" s="10" t="s">
        <v>140</v>
      </c>
      <c r="D18" s="11" t="s">
        <v>62</v>
      </c>
      <c r="E18" s="9" t="s">
        <v>51</v>
      </c>
      <c r="F18" s="12" t="s">
        <v>127</v>
      </c>
      <c r="G18" s="12" t="s">
        <v>141</v>
      </c>
      <c r="H18" s="10" t="s">
        <v>142</v>
      </c>
      <c r="I18" s="9" t="s">
        <v>143</v>
      </c>
      <c r="J18" s="12" t="s">
        <v>144</v>
      </c>
      <c r="K18" s="9" t="s">
        <v>57</v>
      </c>
      <c r="L18" s="11" t="s">
        <v>68</v>
      </c>
      <c r="M18" s="13"/>
      <c r="N18" s="14" t="s">
        <v>59</v>
      </c>
      <c r="O18" s="10"/>
    </row>
    <row r="19" spans="1:15" ht="25.5" x14ac:dyDescent="0.2">
      <c r="A19" s="9" t="s">
        <v>145</v>
      </c>
      <c r="B19" s="10" t="s">
        <v>111</v>
      </c>
      <c r="C19" s="10" t="s">
        <v>146</v>
      </c>
      <c r="D19" s="11" t="s">
        <v>62</v>
      </c>
      <c r="E19" s="9" t="s">
        <v>51</v>
      </c>
      <c r="F19" s="12" t="s">
        <v>147</v>
      </c>
      <c r="G19" s="12" t="s">
        <v>148</v>
      </c>
      <c r="H19" s="10" t="s">
        <v>149</v>
      </c>
      <c r="I19" s="9" t="s">
        <v>143</v>
      </c>
      <c r="J19" s="12" t="s">
        <v>150</v>
      </c>
      <c r="K19" s="9" t="s">
        <v>57</v>
      </c>
      <c r="L19" s="11" t="s">
        <v>68</v>
      </c>
      <c r="M19" s="13"/>
      <c r="N19" s="14" t="s">
        <v>59</v>
      </c>
      <c r="O19" s="10"/>
    </row>
    <row r="20" spans="1:15" ht="25.5" x14ac:dyDescent="0.2">
      <c r="A20" s="9" t="s">
        <v>151</v>
      </c>
      <c r="B20" s="10" t="s">
        <v>111</v>
      </c>
      <c r="C20" s="10" t="s">
        <v>152</v>
      </c>
      <c r="D20" s="11" t="s">
        <v>62</v>
      </c>
      <c r="E20" s="9" t="s">
        <v>95</v>
      </c>
      <c r="F20" s="12" t="s">
        <v>120</v>
      </c>
      <c r="G20" s="12" t="s">
        <v>153</v>
      </c>
      <c r="H20" s="10" t="s">
        <v>154</v>
      </c>
      <c r="I20" s="9" t="s">
        <v>143</v>
      </c>
      <c r="J20" s="12" t="s">
        <v>155</v>
      </c>
      <c r="K20" s="9" t="s">
        <v>57</v>
      </c>
      <c r="L20" s="11" t="s">
        <v>92</v>
      </c>
      <c r="M20" s="13"/>
      <c r="N20" s="14" t="s">
        <v>59</v>
      </c>
      <c r="O20" s="10"/>
    </row>
    <row r="21" spans="1:15" ht="25.5" x14ac:dyDescent="0.2">
      <c r="A21" s="9" t="s">
        <v>156</v>
      </c>
      <c r="B21" s="10" t="s">
        <v>111</v>
      </c>
      <c r="C21" s="10" t="s">
        <v>157</v>
      </c>
      <c r="D21" s="11" t="s">
        <v>158</v>
      </c>
      <c r="E21" s="9" t="s">
        <v>95</v>
      </c>
      <c r="F21" s="12" t="s">
        <v>159</v>
      </c>
      <c r="G21" s="12" t="s">
        <v>160</v>
      </c>
      <c r="H21" s="10" t="s">
        <v>161</v>
      </c>
      <c r="I21" s="9" t="s">
        <v>143</v>
      </c>
      <c r="J21" s="12" t="s">
        <v>162</v>
      </c>
      <c r="K21" s="9" t="s">
        <v>57</v>
      </c>
      <c r="L21" s="11" t="s">
        <v>68</v>
      </c>
      <c r="M21" s="13"/>
      <c r="N21" s="14" t="s">
        <v>59</v>
      </c>
      <c r="O21" s="10"/>
    </row>
    <row r="22" spans="1:15" ht="25.5" x14ac:dyDescent="0.2">
      <c r="A22" s="9" t="s">
        <v>163</v>
      </c>
      <c r="B22" s="10" t="s">
        <v>111</v>
      </c>
      <c r="C22" s="10" t="s">
        <v>164</v>
      </c>
      <c r="D22" s="11" t="s">
        <v>62</v>
      </c>
      <c r="E22" s="9" t="s">
        <v>95</v>
      </c>
      <c r="F22" s="12" t="s">
        <v>127</v>
      </c>
      <c r="G22" s="12" t="s">
        <v>165</v>
      </c>
      <c r="H22" s="10" t="s">
        <v>166</v>
      </c>
      <c r="I22" s="9" t="s">
        <v>167</v>
      </c>
      <c r="J22" s="12" t="s">
        <v>168</v>
      </c>
      <c r="K22" s="9" t="s">
        <v>57</v>
      </c>
      <c r="L22" s="11" t="s">
        <v>68</v>
      </c>
      <c r="M22" s="13"/>
      <c r="N22" s="14" t="s">
        <v>59</v>
      </c>
      <c r="O22" s="10"/>
    </row>
    <row r="23" spans="1:15" ht="25.5" x14ac:dyDescent="0.2">
      <c r="A23" s="9" t="s">
        <v>169</v>
      </c>
      <c r="B23" s="10" t="s">
        <v>111</v>
      </c>
      <c r="C23" s="10" t="s">
        <v>170</v>
      </c>
      <c r="D23" s="11" t="s">
        <v>158</v>
      </c>
      <c r="E23" s="9" t="s">
        <v>76</v>
      </c>
      <c r="F23" s="12" t="s">
        <v>120</v>
      </c>
      <c r="G23" s="12" t="s">
        <v>171</v>
      </c>
      <c r="H23" s="10" t="s">
        <v>172</v>
      </c>
      <c r="I23" s="9" t="s">
        <v>173</v>
      </c>
      <c r="J23" s="12" t="s">
        <v>174</v>
      </c>
      <c r="K23" s="9" t="s">
        <v>57</v>
      </c>
      <c r="L23" s="11" t="s">
        <v>68</v>
      </c>
      <c r="M23" s="13"/>
      <c r="N23" s="14" t="s">
        <v>59</v>
      </c>
      <c r="O23" s="10"/>
    </row>
    <row r="24" spans="1:15" ht="25.5" x14ac:dyDescent="0.2">
      <c r="A24" s="9" t="s">
        <v>175</v>
      </c>
      <c r="B24" s="10" t="s">
        <v>111</v>
      </c>
      <c r="C24" s="10" t="s">
        <v>176</v>
      </c>
      <c r="D24" s="11" t="s">
        <v>158</v>
      </c>
      <c r="E24" s="9" t="s">
        <v>95</v>
      </c>
      <c r="F24" s="12" t="s">
        <v>120</v>
      </c>
      <c r="G24" s="12" t="s">
        <v>177</v>
      </c>
      <c r="H24" s="10" t="s">
        <v>178</v>
      </c>
      <c r="I24" s="9" t="s">
        <v>173</v>
      </c>
      <c r="J24" s="12" t="s">
        <v>179</v>
      </c>
      <c r="K24" s="9" t="s">
        <v>57</v>
      </c>
      <c r="L24" s="11" t="s">
        <v>92</v>
      </c>
      <c r="M24" s="13"/>
      <c r="N24" s="14" t="s">
        <v>59</v>
      </c>
      <c r="O24" s="10"/>
    </row>
    <row r="25" spans="1:15" ht="25.5" x14ac:dyDescent="0.2">
      <c r="A25" s="9" t="s">
        <v>180</v>
      </c>
      <c r="B25" s="10" t="s">
        <v>111</v>
      </c>
      <c r="C25" s="10" t="s">
        <v>181</v>
      </c>
      <c r="D25" s="11" t="s">
        <v>158</v>
      </c>
      <c r="E25" s="9" t="s">
        <v>95</v>
      </c>
      <c r="F25" s="12" t="s">
        <v>120</v>
      </c>
      <c r="G25" s="12" t="s">
        <v>182</v>
      </c>
      <c r="H25" s="10" t="s">
        <v>183</v>
      </c>
      <c r="I25" s="9" t="s">
        <v>173</v>
      </c>
      <c r="J25" s="12" t="s">
        <v>184</v>
      </c>
      <c r="K25" s="9" t="s">
        <v>57</v>
      </c>
      <c r="L25" s="11" t="s">
        <v>92</v>
      </c>
      <c r="M25" s="13"/>
      <c r="N25" s="14" t="s">
        <v>59</v>
      </c>
      <c r="O25" s="10" t="s">
        <v>185</v>
      </c>
    </row>
    <row r="26" spans="1:15" ht="25.5" x14ac:dyDescent="0.2">
      <c r="A26" s="9" t="s">
        <v>186</v>
      </c>
      <c r="B26" s="10" t="s">
        <v>111</v>
      </c>
      <c r="C26" s="10" t="s">
        <v>187</v>
      </c>
      <c r="D26" s="11" t="s">
        <v>50</v>
      </c>
      <c r="E26" s="9" t="s">
        <v>51</v>
      </c>
      <c r="F26" s="12" t="s">
        <v>120</v>
      </c>
      <c r="G26" s="12" t="s">
        <v>188</v>
      </c>
      <c r="H26" s="12" t="s">
        <v>189</v>
      </c>
      <c r="I26" s="9" t="s">
        <v>173</v>
      </c>
      <c r="J26" s="12" t="s">
        <v>190</v>
      </c>
      <c r="K26" s="9" t="s">
        <v>57</v>
      </c>
      <c r="L26" s="11" t="s">
        <v>68</v>
      </c>
      <c r="M26" s="13"/>
      <c r="N26" s="14" t="s">
        <v>59</v>
      </c>
      <c r="O26" s="10" t="s">
        <v>191</v>
      </c>
    </row>
    <row r="27" spans="1:15" ht="25.5" x14ac:dyDescent="0.2">
      <c r="A27" s="9" t="s">
        <v>192</v>
      </c>
      <c r="B27" s="10" t="s">
        <v>111</v>
      </c>
      <c r="C27" s="10" t="s">
        <v>193</v>
      </c>
      <c r="D27" s="11" t="s">
        <v>158</v>
      </c>
      <c r="E27" s="9" t="s">
        <v>95</v>
      </c>
      <c r="F27" s="12" t="s">
        <v>159</v>
      </c>
      <c r="G27" s="12" t="s">
        <v>194</v>
      </c>
      <c r="H27" s="10" t="s">
        <v>195</v>
      </c>
      <c r="I27" s="9" t="s">
        <v>196</v>
      </c>
      <c r="J27" s="12" t="s">
        <v>197</v>
      </c>
      <c r="K27" s="9" t="s">
        <v>57</v>
      </c>
      <c r="L27" s="11" t="s">
        <v>92</v>
      </c>
      <c r="M27" s="13"/>
      <c r="N27" s="14" t="s">
        <v>59</v>
      </c>
      <c r="O27" s="10"/>
    </row>
    <row r="28" spans="1:15" ht="25.5" x14ac:dyDescent="0.2">
      <c r="A28" s="9" t="s">
        <v>198</v>
      </c>
      <c r="B28" s="10" t="s">
        <v>111</v>
      </c>
      <c r="C28" s="10" t="s">
        <v>199</v>
      </c>
      <c r="D28" s="11" t="s">
        <v>62</v>
      </c>
      <c r="E28" s="9" t="s">
        <v>95</v>
      </c>
      <c r="F28" s="12" t="s">
        <v>127</v>
      </c>
      <c r="G28" s="12" t="s">
        <v>200</v>
      </c>
      <c r="H28" s="10" t="s">
        <v>201</v>
      </c>
      <c r="I28" s="9" t="s">
        <v>130</v>
      </c>
      <c r="J28" s="12" t="s">
        <v>202</v>
      </c>
      <c r="K28" s="9" t="s">
        <v>57</v>
      </c>
      <c r="L28" s="11" t="s">
        <v>92</v>
      </c>
      <c r="M28" s="13"/>
      <c r="N28" s="14" t="s">
        <v>59</v>
      </c>
      <c r="O28" s="10"/>
    </row>
    <row r="29" spans="1:15" ht="25.5" x14ac:dyDescent="0.2">
      <c r="A29" s="9" t="s">
        <v>203</v>
      </c>
      <c r="B29" s="10" t="s">
        <v>111</v>
      </c>
      <c r="C29" s="10" t="s">
        <v>204</v>
      </c>
      <c r="D29" s="11" t="s">
        <v>62</v>
      </c>
      <c r="E29" s="9" t="s">
        <v>76</v>
      </c>
      <c r="F29" s="12" t="s">
        <v>127</v>
      </c>
      <c r="G29" s="12" t="s">
        <v>205</v>
      </c>
      <c r="H29" s="10" t="s">
        <v>206</v>
      </c>
      <c r="I29" s="9" t="s">
        <v>207</v>
      </c>
      <c r="J29" s="12" t="s">
        <v>208</v>
      </c>
      <c r="K29" s="9" t="s">
        <v>57</v>
      </c>
      <c r="L29" s="11" t="s">
        <v>68</v>
      </c>
      <c r="M29" s="13"/>
      <c r="N29" s="14" t="s">
        <v>59</v>
      </c>
      <c r="O29" s="10" t="s">
        <v>209</v>
      </c>
    </row>
    <row r="30" spans="1:15" ht="25.5" x14ac:dyDescent="0.2">
      <c r="A30" s="9" t="s">
        <v>210</v>
      </c>
      <c r="B30" s="10" t="s">
        <v>111</v>
      </c>
      <c r="C30" s="10" t="s">
        <v>211</v>
      </c>
      <c r="D30" s="11" t="s">
        <v>62</v>
      </c>
      <c r="E30" s="9" t="s">
        <v>76</v>
      </c>
      <c r="F30" s="12" t="s">
        <v>120</v>
      </c>
      <c r="G30" s="12" t="s">
        <v>212</v>
      </c>
      <c r="H30" s="10" t="s">
        <v>213</v>
      </c>
      <c r="I30" s="9" t="s">
        <v>207</v>
      </c>
      <c r="J30" s="12" t="s">
        <v>214</v>
      </c>
      <c r="K30" s="9" t="s">
        <v>57</v>
      </c>
      <c r="L30" s="11" t="s">
        <v>92</v>
      </c>
      <c r="M30" s="13"/>
      <c r="N30" s="14" t="s">
        <v>59</v>
      </c>
      <c r="O30" s="10"/>
    </row>
    <row r="31" spans="1:15" ht="51" x14ac:dyDescent="0.2">
      <c r="A31" s="15" t="s">
        <v>215</v>
      </c>
      <c r="B31" s="10" t="s">
        <v>111</v>
      </c>
      <c r="C31" s="10" t="s">
        <v>216</v>
      </c>
      <c r="D31" s="11" t="s">
        <v>158</v>
      </c>
      <c r="E31" s="9" t="s">
        <v>51</v>
      </c>
      <c r="F31" s="12" t="s">
        <v>217</v>
      </c>
      <c r="G31" s="12" t="s">
        <v>218</v>
      </c>
      <c r="H31" s="10" t="s">
        <v>219</v>
      </c>
      <c r="I31" s="9" t="s">
        <v>196</v>
      </c>
      <c r="J31" s="12" t="s">
        <v>220</v>
      </c>
      <c r="K31" s="9" t="s">
        <v>57</v>
      </c>
      <c r="L31" s="11" t="s">
        <v>92</v>
      </c>
      <c r="M31" s="13"/>
      <c r="N31" s="14" t="s">
        <v>59</v>
      </c>
      <c r="O31" s="10"/>
    </row>
    <row r="32" spans="1:15" ht="25.5" x14ac:dyDescent="0.2">
      <c r="A32" s="15" t="s">
        <v>221</v>
      </c>
      <c r="B32" s="10" t="s">
        <v>111</v>
      </c>
      <c r="C32" s="10" t="s">
        <v>222</v>
      </c>
      <c r="D32" s="11" t="s">
        <v>62</v>
      </c>
      <c r="E32" s="9" t="s">
        <v>95</v>
      </c>
      <c r="F32" s="12" t="s">
        <v>223</v>
      </c>
      <c r="G32" s="12" t="s">
        <v>224</v>
      </c>
      <c r="H32" s="10" t="s">
        <v>225</v>
      </c>
      <c r="I32" s="9" t="s">
        <v>196</v>
      </c>
      <c r="J32" s="12" t="s">
        <v>226</v>
      </c>
      <c r="K32" s="9" t="s">
        <v>57</v>
      </c>
      <c r="L32" s="11" t="s">
        <v>92</v>
      </c>
      <c r="M32" s="13"/>
      <c r="N32" s="14" t="s">
        <v>59</v>
      </c>
      <c r="O32" s="12" t="s">
        <v>227</v>
      </c>
    </row>
    <row r="33" spans="1:15" ht="25.5" x14ac:dyDescent="0.2">
      <c r="A33" s="15" t="s">
        <v>228</v>
      </c>
      <c r="B33" s="10" t="s">
        <v>111</v>
      </c>
      <c r="C33" s="10" t="s">
        <v>229</v>
      </c>
      <c r="D33" s="11" t="s">
        <v>62</v>
      </c>
      <c r="E33" s="9" t="s">
        <v>95</v>
      </c>
      <c r="F33" s="12" t="s">
        <v>127</v>
      </c>
      <c r="G33" s="12" t="s">
        <v>230</v>
      </c>
      <c r="H33" s="10" t="s">
        <v>231</v>
      </c>
      <c r="I33" s="9" t="s">
        <v>232</v>
      </c>
      <c r="J33" s="12" t="s">
        <v>233</v>
      </c>
      <c r="K33" s="9" t="s">
        <v>57</v>
      </c>
      <c r="L33" s="11" t="s">
        <v>92</v>
      </c>
      <c r="M33" s="13"/>
      <c r="N33" s="14" t="s">
        <v>59</v>
      </c>
      <c r="O33" s="12" t="s">
        <v>234</v>
      </c>
    </row>
    <row r="34" spans="1:15" ht="38.25" x14ac:dyDescent="0.2">
      <c r="A34" s="15" t="s">
        <v>235</v>
      </c>
      <c r="B34" s="10" t="s">
        <v>111</v>
      </c>
      <c r="C34" s="10" t="s">
        <v>236</v>
      </c>
      <c r="D34" s="11" t="s">
        <v>158</v>
      </c>
      <c r="E34" s="9" t="s">
        <v>95</v>
      </c>
      <c r="F34" s="12" t="s">
        <v>237</v>
      </c>
      <c r="G34" s="12" t="s">
        <v>238</v>
      </c>
      <c r="H34" s="10" t="s">
        <v>239</v>
      </c>
      <c r="I34" s="9" t="s">
        <v>240</v>
      </c>
      <c r="J34" s="12" t="s">
        <v>241</v>
      </c>
      <c r="K34" s="9" t="s">
        <v>57</v>
      </c>
      <c r="L34" s="11" t="s">
        <v>92</v>
      </c>
      <c r="M34" s="13"/>
      <c r="N34" s="14" t="s">
        <v>59</v>
      </c>
      <c r="O34" s="10" t="s">
        <v>242</v>
      </c>
    </row>
    <row r="35" spans="1:15" ht="25.5" x14ac:dyDescent="0.2">
      <c r="A35" s="15" t="s">
        <v>243</v>
      </c>
      <c r="B35" s="10" t="s">
        <v>111</v>
      </c>
      <c r="C35" s="10" t="s">
        <v>244</v>
      </c>
      <c r="D35" s="11" t="s">
        <v>62</v>
      </c>
      <c r="E35" s="9" t="s">
        <v>95</v>
      </c>
      <c r="F35" s="12" t="s">
        <v>127</v>
      </c>
      <c r="G35" s="12" t="s">
        <v>245</v>
      </c>
      <c r="H35" s="10" t="s">
        <v>246</v>
      </c>
      <c r="I35" s="9" t="s">
        <v>196</v>
      </c>
      <c r="J35" s="12" t="s">
        <v>226</v>
      </c>
      <c r="K35" s="9" t="s">
        <v>57</v>
      </c>
      <c r="L35" s="11" t="s">
        <v>92</v>
      </c>
      <c r="M35" s="13"/>
      <c r="N35" s="14" t="s">
        <v>59</v>
      </c>
      <c r="O35" s="12" t="s">
        <v>247</v>
      </c>
    </row>
    <row r="36" spans="1:15" ht="38.25" x14ac:dyDescent="0.2">
      <c r="A36" s="9" t="s">
        <v>248</v>
      </c>
      <c r="B36" s="10" t="s">
        <v>249</v>
      </c>
      <c r="C36" s="10" t="s">
        <v>250</v>
      </c>
      <c r="D36" s="11" t="s">
        <v>62</v>
      </c>
      <c r="E36" s="9" t="s">
        <v>51</v>
      </c>
      <c r="F36" s="12" t="s">
        <v>127</v>
      </c>
      <c r="G36" s="12" t="s">
        <v>251</v>
      </c>
      <c r="H36" s="12" t="s">
        <v>252</v>
      </c>
      <c r="I36" s="9" t="s">
        <v>253</v>
      </c>
      <c r="J36" s="12" t="s">
        <v>254</v>
      </c>
      <c r="K36" s="9" t="s">
        <v>255</v>
      </c>
      <c r="L36" s="11" t="s">
        <v>256</v>
      </c>
      <c r="M36" s="13"/>
      <c r="N36" s="14" t="s">
        <v>59</v>
      </c>
      <c r="O36" s="10"/>
    </row>
    <row r="37" spans="1:15" ht="25.5" x14ac:dyDescent="0.2">
      <c r="A37" s="9" t="s">
        <v>257</v>
      </c>
      <c r="B37" s="10" t="s">
        <v>249</v>
      </c>
      <c r="C37" s="10" t="s">
        <v>258</v>
      </c>
      <c r="D37" s="11" t="s">
        <v>62</v>
      </c>
      <c r="E37" s="9" t="s">
        <v>95</v>
      </c>
      <c r="F37" s="12" t="s">
        <v>127</v>
      </c>
      <c r="G37" s="12" t="s">
        <v>259</v>
      </c>
      <c r="H37" s="10" t="s">
        <v>260</v>
      </c>
      <c r="I37" s="9" t="s">
        <v>261</v>
      </c>
      <c r="J37" s="12" t="s">
        <v>262</v>
      </c>
      <c r="K37" s="9" t="s">
        <v>255</v>
      </c>
      <c r="L37" s="11" t="s">
        <v>68</v>
      </c>
      <c r="M37" s="13"/>
      <c r="N37" s="14" t="s">
        <v>59</v>
      </c>
      <c r="O37" s="10"/>
    </row>
    <row r="38" spans="1:15" ht="25.5" x14ac:dyDescent="0.2">
      <c r="A38" s="9" t="s">
        <v>263</v>
      </c>
      <c r="B38" s="10" t="s">
        <v>249</v>
      </c>
      <c r="C38" s="10" t="s">
        <v>264</v>
      </c>
      <c r="D38" s="11" t="s">
        <v>62</v>
      </c>
      <c r="E38" s="9" t="s">
        <v>51</v>
      </c>
      <c r="F38" s="12" t="s">
        <v>127</v>
      </c>
      <c r="G38" s="12" t="s">
        <v>265</v>
      </c>
      <c r="H38" s="10" t="s">
        <v>266</v>
      </c>
      <c r="I38" s="9" t="s">
        <v>267</v>
      </c>
      <c r="J38" s="12" t="s">
        <v>268</v>
      </c>
      <c r="K38" s="9" t="s">
        <v>255</v>
      </c>
      <c r="L38" s="11" t="s">
        <v>92</v>
      </c>
      <c r="M38" s="13"/>
      <c r="N38" s="14" t="s">
        <v>59</v>
      </c>
      <c r="O38" s="10"/>
    </row>
    <row r="39" spans="1:15" x14ac:dyDescent="0.2">
      <c r="A39" s="9" t="s">
        <v>269</v>
      </c>
      <c r="B39" s="10" t="s">
        <v>249</v>
      </c>
      <c r="C39" s="10" t="s">
        <v>270</v>
      </c>
      <c r="D39" s="11" t="s">
        <v>62</v>
      </c>
      <c r="E39" s="9" t="s">
        <v>95</v>
      </c>
      <c r="F39" s="12" t="s">
        <v>120</v>
      </c>
      <c r="G39" s="12" t="s">
        <v>271</v>
      </c>
      <c r="H39" s="12" t="s">
        <v>272</v>
      </c>
      <c r="I39" s="9" t="s">
        <v>167</v>
      </c>
      <c r="J39" s="12" t="s">
        <v>168</v>
      </c>
      <c r="K39" s="9" t="s">
        <v>57</v>
      </c>
      <c r="L39" s="11" t="s">
        <v>92</v>
      </c>
      <c r="M39" s="13"/>
      <c r="N39" s="14" t="s">
        <v>59</v>
      </c>
      <c r="O39" s="10"/>
    </row>
    <row r="40" spans="1:15" x14ac:dyDescent="0.2">
      <c r="A40" s="9" t="s">
        <v>273</v>
      </c>
      <c r="B40" s="10" t="s">
        <v>249</v>
      </c>
      <c r="C40" s="10" t="s">
        <v>274</v>
      </c>
      <c r="D40" s="11" t="s">
        <v>158</v>
      </c>
      <c r="E40" s="9" t="s">
        <v>76</v>
      </c>
      <c r="F40" s="12" t="s">
        <v>127</v>
      </c>
      <c r="G40" s="12" t="s">
        <v>275</v>
      </c>
      <c r="H40" s="12" t="s">
        <v>276</v>
      </c>
      <c r="I40" s="9" t="s">
        <v>261</v>
      </c>
      <c r="J40" s="12" t="s">
        <v>277</v>
      </c>
      <c r="K40" s="9" t="s">
        <v>57</v>
      </c>
      <c r="L40" s="11" t="s">
        <v>92</v>
      </c>
      <c r="M40" s="13"/>
      <c r="N40" s="14" t="s">
        <v>59</v>
      </c>
      <c r="O40" s="10"/>
    </row>
    <row r="41" spans="1:15" ht="38.25" x14ac:dyDescent="0.2">
      <c r="A41" s="9" t="s">
        <v>278</v>
      </c>
      <c r="B41" s="10" t="s">
        <v>249</v>
      </c>
      <c r="C41" s="10" t="s">
        <v>279</v>
      </c>
      <c r="D41" s="11" t="s">
        <v>50</v>
      </c>
      <c r="E41" s="9" t="s">
        <v>51</v>
      </c>
      <c r="F41" s="10" t="s">
        <v>280</v>
      </c>
      <c r="G41" s="12" t="s">
        <v>281</v>
      </c>
      <c r="H41" s="12" t="s">
        <v>282</v>
      </c>
      <c r="I41" s="9" t="s">
        <v>283</v>
      </c>
      <c r="J41" s="12" t="s">
        <v>284</v>
      </c>
      <c r="K41" s="9" t="s">
        <v>255</v>
      </c>
      <c r="L41" s="11" t="s">
        <v>256</v>
      </c>
      <c r="M41" s="13"/>
      <c r="N41" s="14" t="s">
        <v>59</v>
      </c>
      <c r="O41" s="10" t="s">
        <v>285</v>
      </c>
    </row>
    <row r="42" spans="1:15" ht="25.5" x14ac:dyDescent="0.2">
      <c r="A42" s="9" t="s">
        <v>286</v>
      </c>
      <c r="B42" s="10" t="s">
        <v>249</v>
      </c>
      <c r="C42" s="10" t="s">
        <v>287</v>
      </c>
      <c r="D42" s="11" t="s">
        <v>62</v>
      </c>
      <c r="E42" s="9" t="s">
        <v>95</v>
      </c>
      <c r="F42" s="10" t="s">
        <v>288</v>
      </c>
      <c r="G42" s="12" t="s">
        <v>289</v>
      </c>
      <c r="H42" s="10" t="s">
        <v>290</v>
      </c>
      <c r="I42" s="9" t="s">
        <v>291</v>
      </c>
      <c r="J42" s="12" t="s">
        <v>292</v>
      </c>
      <c r="K42" s="9" t="s">
        <v>255</v>
      </c>
      <c r="L42" s="11" t="s">
        <v>92</v>
      </c>
      <c r="M42" s="13"/>
      <c r="N42" s="14" t="s">
        <v>59</v>
      </c>
      <c r="O42" s="10" t="s">
        <v>293</v>
      </c>
    </row>
    <row r="43" spans="1:15" x14ac:dyDescent="0.2">
      <c r="A43" s="9" t="s">
        <v>294</v>
      </c>
      <c r="B43" s="10" t="s">
        <v>249</v>
      </c>
      <c r="C43" s="10" t="s">
        <v>295</v>
      </c>
      <c r="D43" s="11" t="s">
        <v>50</v>
      </c>
      <c r="E43" s="9" t="s">
        <v>95</v>
      </c>
      <c r="F43" s="12" t="s">
        <v>127</v>
      </c>
      <c r="G43" s="12" t="s">
        <v>296</v>
      </c>
      <c r="H43" s="10" t="s">
        <v>297</v>
      </c>
      <c r="I43" s="9" t="s">
        <v>261</v>
      </c>
      <c r="J43" s="12" t="s">
        <v>298</v>
      </c>
      <c r="K43" s="9" t="s">
        <v>255</v>
      </c>
      <c r="L43" s="11" t="s">
        <v>92</v>
      </c>
      <c r="M43" s="13"/>
      <c r="N43" s="14" t="s">
        <v>59</v>
      </c>
      <c r="O43" s="10"/>
    </row>
    <row r="44" spans="1:15" ht="25.5" x14ac:dyDescent="0.2">
      <c r="A44" s="9" t="s">
        <v>299</v>
      </c>
      <c r="B44" s="10" t="s">
        <v>300</v>
      </c>
      <c r="C44" s="10" t="s">
        <v>301</v>
      </c>
      <c r="D44" s="11" t="s">
        <v>62</v>
      </c>
      <c r="E44" s="9" t="s">
        <v>51</v>
      </c>
      <c r="F44" s="10" t="s">
        <v>77</v>
      </c>
      <c r="G44" s="12" t="s">
        <v>302</v>
      </c>
      <c r="H44" s="10" t="s">
        <v>303</v>
      </c>
      <c r="I44" s="9" t="s">
        <v>291</v>
      </c>
      <c r="J44" s="12" t="s">
        <v>304</v>
      </c>
      <c r="K44" s="9" t="s">
        <v>57</v>
      </c>
      <c r="L44" s="11" t="s">
        <v>68</v>
      </c>
      <c r="M44" s="13"/>
      <c r="N44" s="14" t="s">
        <v>59</v>
      </c>
      <c r="O44" s="10"/>
    </row>
    <row r="45" spans="1:15" ht="25.5" x14ac:dyDescent="0.2">
      <c r="A45" s="9" t="s">
        <v>305</v>
      </c>
      <c r="B45" s="10" t="s">
        <v>300</v>
      </c>
      <c r="C45" s="10" t="s">
        <v>306</v>
      </c>
      <c r="D45" s="11" t="s">
        <v>62</v>
      </c>
      <c r="E45" s="9" t="s">
        <v>51</v>
      </c>
      <c r="F45" s="10" t="s">
        <v>307</v>
      </c>
      <c r="G45" s="12" t="s">
        <v>308</v>
      </c>
      <c r="H45" s="12" t="s">
        <v>309</v>
      </c>
      <c r="I45" s="9" t="s">
        <v>291</v>
      </c>
      <c r="J45" s="12" t="s">
        <v>310</v>
      </c>
      <c r="K45" s="9" t="s">
        <v>255</v>
      </c>
      <c r="L45" s="11" t="s">
        <v>68</v>
      </c>
      <c r="M45" s="13"/>
      <c r="N45" s="14" t="s">
        <v>59</v>
      </c>
      <c r="O45" s="10"/>
    </row>
    <row r="46" spans="1:15" x14ac:dyDescent="0.2">
      <c r="A46" s="9" t="s">
        <v>311</v>
      </c>
      <c r="B46" s="10" t="s">
        <v>300</v>
      </c>
      <c r="C46" s="10" t="s">
        <v>312</v>
      </c>
      <c r="D46" s="11" t="s">
        <v>62</v>
      </c>
      <c r="E46" s="9" t="s">
        <v>95</v>
      </c>
      <c r="F46" s="10" t="s">
        <v>313</v>
      </c>
      <c r="G46" s="12" t="s">
        <v>314</v>
      </c>
      <c r="H46" s="12" t="s">
        <v>315</v>
      </c>
      <c r="I46" s="9" t="s">
        <v>291</v>
      </c>
      <c r="J46" s="12" t="s">
        <v>316</v>
      </c>
      <c r="K46" s="9" t="s">
        <v>57</v>
      </c>
      <c r="L46" s="11" t="s">
        <v>68</v>
      </c>
      <c r="M46" s="13"/>
      <c r="N46" s="14" t="s">
        <v>59</v>
      </c>
      <c r="O46" s="10"/>
    </row>
    <row r="47" spans="1:15" x14ac:dyDescent="0.2">
      <c r="A47" s="9" t="s">
        <v>317</v>
      </c>
      <c r="B47" s="10" t="s">
        <v>300</v>
      </c>
      <c r="C47" s="10" t="s">
        <v>318</v>
      </c>
      <c r="D47" s="11" t="s">
        <v>158</v>
      </c>
      <c r="E47" s="9" t="s">
        <v>76</v>
      </c>
      <c r="F47" s="10" t="s">
        <v>319</v>
      </c>
      <c r="G47" s="12" t="s">
        <v>302</v>
      </c>
      <c r="H47" s="12" t="s">
        <v>320</v>
      </c>
      <c r="I47" s="9" t="s">
        <v>291</v>
      </c>
      <c r="J47" s="12" t="s">
        <v>321</v>
      </c>
      <c r="K47" s="9" t="s">
        <v>57</v>
      </c>
      <c r="L47" s="11" t="s">
        <v>68</v>
      </c>
      <c r="M47" s="13"/>
      <c r="N47" s="14" t="s">
        <v>59</v>
      </c>
      <c r="O47" s="10" t="s">
        <v>322</v>
      </c>
    </row>
    <row r="48" spans="1:15" x14ac:dyDescent="0.2">
      <c r="A48" s="9" t="s">
        <v>323</v>
      </c>
      <c r="B48" s="10" t="s">
        <v>300</v>
      </c>
      <c r="C48" s="10" t="s">
        <v>324</v>
      </c>
      <c r="D48" s="11" t="s">
        <v>62</v>
      </c>
      <c r="E48" s="9" t="s">
        <v>95</v>
      </c>
      <c r="F48" s="10" t="s">
        <v>77</v>
      </c>
      <c r="G48" s="12" t="s">
        <v>325</v>
      </c>
      <c r="H48" s="10" t="s">
        <v>326</v>
      </c>
      <c r="I48" s="9" t="s">
        <v>207</v>
      </c>
      <c r="J48" s="12" t="s">
        <v>327</v>
      </c>
      <c r="K48" s="9" t="s">
        <v>57</v>
      </c>
      <c r="L48" s="11" t="s">
        <v>68</v>
      </c>
      <c r="M48" s="13"/>
      <c r="N48" s="14" t="s">
        <v>59</v>
      </c>
      <c r="O48" s="10"/>
    </row>
    <row r="49" spans="1:15" x14ac:dyDescent="0.2">
      <c r="A49" s="15" t="s">
        <v>328</v>
      </c>
      <c r="B49" s="10" t="s">
        <v>300</v>
      </c>
      <c r="C49" s="10" t="s">
        <v>329</v>
      </c>
      <c r="D49" s="11" t="s">
        <v>62</v>
      </c>
      <c r="E49" s="9" t="s">
        <v>76</v>
      </c>
      <c r="F49" s="10" t="s">
        <v>77</v>
      </c>
      <c r="G49" s="12" t="s">
        <v>330</v>
      </c>
      <c r="H49" s="10" t="s">
        <v>331</v>
      </c>
      <c r="I49" s="9" t="s">
        <v>291</v>
      </c>
      <c r="J49" s="12" t="s">
        <v>332</v>
      </c>
      <c r="K49" s="9" t="s">
        <v>255</v>
      </c>
      <c r="L49" s="11" t="s">
        <v>92</v>
      </c>
      <c r="M49" s="13"/>
      <c r="N49" s="14" t="s">
        <v>59</v>
      </c>
      <c r="O49" s="12" t="s">
        <v>333</v>
      </c>
    </row>
    <row r="50" spans="1:15" ht="25.5" x14ac:dyDescent="0.2">
      <c r="A50" s="9" t="s">
        <v>334</v>
      </c>
      <c r="B50" s="10" t="s">
        <v>335</v>
      </c>
      <c r="C50" s="10" t="s">
        <v>336</v>
      </c>
      <c r="D50" s="11" t="s">
        <v>62</v>
      </c>
      <c r="E50" s="9" t="s">
        <v>51</v>
      </c>
      <c r="F50" s="10" t="s">
        <v>337</v>
      </c>
      <c r="G50" s="12" t="s">
        <v>338</v>
      </c>
      <c r="H50" s="10" t="s">
        <v>339</v>
      </c>
      <c r="I50" s="9" t="s">
        <v>340</v>
      </c>
      <c r="J50" s="12" t="s">
        <v>341</v>
      </c>
      <c r="K50" s="9" t="s">
        <v>57</v>
      </c>
      <c r="L50" s="11" t="s">
        <v>92</v>
      </c>
      <c r="M50" s="13"/>
      <c r="N50" s="14" t="s">
        <v>59</v>
      </c>
      <c r="O50" s="10"/>
    </row>
    <row r="51" spans="1:15" ht="38.25" x14ac:dyDescent="0.2">
      <c r="A51" s="9" t="s">
        <v>342</v>
      </c>
      <c r="B51" s="10" t="s">
        <v>335</v>
      </c>
      <c r="C51" s="10" t="s">
        <v>343</v>
      </c>
      <c r="D51" s="11" t="s">
        <v>62</v>
      </c>
      <c r="E51" s="9" t="s">
        <v>51</v>
      </c>
      <c r="F51" s="10" t="s">
        <v>344</v>
      </c>
      <c r="G51" s="12" t="s">
        <v>345</v>
      </c>
      <c r="H51" s="12" t="s">
        <v>346</v>
      </c>
      <c r="I51" s="9" t="s">
        <v>347</v>
      </c>
      <c r="J51" s="12" t="s">
        <v>348</v>
      </c>
      <c r="K51" s="9" t="s">
        <v>255</v>
      </c>
      <c r="L51" s="11" t="s">
        <v>256</v>
      </c>
      <c r="M51" s="13"/>
      <c r="N51" s="14" t="s">
        <v>59</v>
      </c>
      <c r="O51" s="10"/>
    </row>
    <row r="52" spans="1:15" ht="38.25" x14ac:dyDescent="0.2">
      <c r="A52" s="9" t="s">
        <v>349</v>
      </c>
      <c r="B52" s="10" t="s">
        <v>335</v>
      </c>
      <c r="C52" s="10" t="s">
        <v>350</v>
      </c>
      <c r="D52" s="11" t="s">
        <v>62</v>
      </c>
      <c r="E52" s="9" t="s">
        <v>51</v>
      </c>
      <c r="F52" s="10" t="s">
        <v>351</v>
      </c>
      <c r="G52" s="12" t="s">
        <v>352</v>
      </c>
      <c r="H52" s="10" t="s">
        <v>353</v>
      </c>
      <c r="I52" s="9" t="s">
        <v>354</v>
      </c>
      <c r="J52" s="12" t="s">
        <v>355</v>
      </c>
      <c r="K52" s="9" t="s">
        <v>255</v>
      </c>
      <c r="L52" s="11" t="s">
        <v>256</v>
      </c>
      <c r="M52" s="13"/>
      <c r="N52" s="14" t="s">
        <v>59</v>
      </c>
      <c r="O52" s="10"/>
    </row>
    <row r="53" spans="1:15" ht="25.5" x14ac:dyDescent="0.2">
      <c r="A53" s="9" t="s">
        <v>356</v>
      </c>
      <c r="B53" s="10" t="s">
        <v>335</v>
      </c>
      <c r="C53" s="10" t="s">
        <v>357</v>
      </c>
      <c r="D53" s="11" t="s">
        <v>50</v>
      </c>
      <c r="E53" s="9" t="s">
        <v>95</v>
      </c>
      <c r="F53" s="10" t="s">
        <v>344</v>
      </c>
      <c r="G53" s="12" t="s">
        <v>358</v>
      </c>
      <c r="H53" s="10" t="s">
        <v>359</v>
      </c>
      <c r="I53" s="9" t="s">
        <v>354</v>
      </c>
      <c r="J53" s="12" t="s">
        <v>360</v>
      </c>
      <c r="K53" s="9" t="s">
        <v>57</v>
      </c>
      <c r="L53" s="11" t="s">
        <v>68</v>
      </c>
      <c r="M53" s="13"/>
      <c r="N53" s="14" t="s">
        <v>59</v>
      </c>
      <c r="O53" s="10"/>
    </row>
    <row r="54" spans="1:15" ht="38.25" x14ac:dyDescent="0.2">
      <c r="A54" s="16" t="s">
        <v>361</v>
      </c>
      <c r="B54" s="10" t="s">
        <v>335</v>
      </c>
      <c r="C54" s="17" t="s">
        <v>362</v>
      </c>
      <c r="D54" s="11" t="s">
        <v>50</v>
      </c>
      <c r="E54" s="9" t="s">
        <v>51</v>
      </c>
      <c r="F54" s="10" t="s">
        <v>344</v>
      </c>
      <c r="G54" s="12" t="s">
        <v>363</v>
      </c>
      <c r="H54" s="17" t="s">
        <v>364</v>
      </c>
      <c r="I54" s="9" t="s">
        <v>365</v>
      </c>
      <c r="J54" s="12" t="s">
        <v>366</v>
      </c>
      <c r="K54" s="9" t="s">
        <v>255</v>
      </c>
      <c r="L54" s="11" t="s">
        <v>68</v>
      </c>
      <c r="M54" s="13"/>
      <c r="N54" s="14" t="s">
        <v>59</v>
      </c>
      <c r="O54" s="12" t="s">
        <v>367</v>
      </c>
    </row>
    <row r="55" spans="1:15" ht="25.5" x14ac:dyDescent="0.2">
      <c r="A55" s="9" t="s">
        <v>368</v>
      </c>
      <c r="B55" s="10" t="s">
        <v>335</v>
      </c>
      <c r="C55" s="10" t="s">
        <v>369</v>
      </c>
      <c r="D55" s="11" t="s">
        <v>62</v>
      </c>
      <c r="E55" s="9" t="s">
        <v>95</v>
      </c>
      <c r="F55" s="12" t="s">
        <v>370</v>
      </c>
      <c r="G55" s="12" t="s">
        <v>302</v>
      </c>
      <c r="H55" s="10" t="s">
        <v>371</v>
      </c>
      <c r="I55" s="9" t="s">
        <v>372</v>
      </c>
      <c r="J55" s="12" t="s">
        <v>373</v>
      </c>
      <c r="K55" s="9" t="s">
        <v>255</v>
      </c>
      <c r="L55" s="11" t="s">
        <v>92</v>
      </c>
      <c r="M55" s="13"/>
      <c r="N55" s="14" t="s">
        <v>59</v>
      </c>
      <c r="O55" s="10" t="s">
        <v>374</v>
      </c>
    </row>
    <row r="56" spans="1:15" ht="38.25" x14ac:dyDescent="0.2">
      <c r="A56" s="9" t="s">
        <v>375</v>
      </c>
      <c r="B56" s="10" t="s">
        <v>335</v>
      </c>
      <c r="C56" s="10" t="s">
        <v>376</v>
      </c>
      <c r="D56" s="11" t="s">
        <v>50</v>
      </c>
      <c r="E56" s="9" t="s">
        <v>51</v>
      </c>
      <c r="F56" s="10" t="s">
        <v>344</v>
      </c>
      <c r="G56" s="12" t="s">
        <v>377</v>
      </c>
      <c r="H56" s="12" t="s">
        <v>378</v>
      </c>
      <c r="I56" s="9" t="s">
        <v>379</v>
      </c>
      <c r="J56" s="12" t="s">
        <v>380</v>
      </c>
      <c r="K56" s="9" t="s">
        <v>255</v>
      </c>
      <c r="L56" s="11" t="s">
        <v>256</v>
      </c>
      <c r="M56" s="13"/>
      <c r="N56" s="14" t="s">
        <v>59</v>
      </c>
      <c r="O56" s="10"/>
    </row>
    <row r="57" spans="1:15" ht="25.5" x14ac:dyDescent="0.2">
      <c r="A57" s="16" t="s">
        <v>381</v>
      </c>
      <c r="B57" s="10" t="s">
        <v>335</v>
      </c>
      <c r="C57" s="17" t="s">
        <v>382</v>
      </c>
      <c r="D57" s="11" t="s">
        <v>50</v>
      </c>
      <c r="E57" s="9" t="s">
        <v>51</v>
      </c>
      <c r="F57" s="10" t="s">
        <v>77</v>
      </c>
      <c r="G57" s="12" t="s">
        <v>383</v>
      </c>
      <c r="H57" s="18" t="s">
        <v>384</v>
      </c>
      <c r="I57" s="11" t="s">
        <v>385</v>
      </c>
      <c r="J57" s="12" t="s">
        <v>386</v>
      </c>
      <c r="K57" s="9" t="s">
        <v>57</v>
      </c>
      <c r="L57" s="11" t="s">
        <v>92</v>
      </c>
      <c r="M57" s="13"/>
      <c r="N57" s="14" t="s">
        <v>59</v>
      </c>
      <c r="O57" s="10" t="s">
        <v>387</v>
      </c>
    </row>
    <row r="58" spans="1:15" ht="25.5" x14ac:dyDescent="0.2">
      <c r="A58" s="9" t="s">
        <v>388</v>
      </c>
      <c r="B58" s="10" t="s">
        <v>335</v>
      </c>
      <c r="C58" s="10" t="s">
        <v>389</v>
      </c>
      <c r="D58" s="11" t="s">
        <v>62</v>
      </c>
      <c r="E58" s="9" t="s">
        <v>95</v>
      </c>
      <c r="F58" s="10" t="s">
        <v>390</v>
      </c>
      <c r="G58" s="12" t="s">
        <v>391</v>
      </c>
      <c r="H58" s="12" t="s">
        <v>392</v>
      </c>
      <c r="I58" s="9" t="s">
        <v>393</v>
      </c>
      <c r="J58" s="12" t="s">
        <v>394</v>
      </c>
      <c r="K58" s="9" t="s">
        <v>57</v>
      </c>
      <c r="L58" s="11" t="s">
        <v>92</v>
      </c>
      <c r="M58" s="13"/>
      <c r="N58" s="14" t="s">
        <v>59</v>
      </c>
      <c r="O58" s="10"/>
    </row>
    <row r="59" spans="1:15" ht="38.25" x14ac:dyDescent="0.2">
      <c r="A59" s="15" t="s">
        <v>395</v>
      </c>
      <c r="B59" s="10" t="s">
        <v>335</v>
      </c>
      <c r="C59" s="10" t="s">
        <v>396</v>
      </c>
      <c r="D59" s="11" t="s">
        <v>50</v>
      </c>
      <c r="E59" s="9" t="s">
        <v>95</v>
      </c>
      <c r="F59" s="10" t="s">
        <v>344</v>
      </c>
      <c r="G59" s="12" t="s">
        <v>397</v>
      </c>
      <c r="H59" s="12" t="s">
        <v>398</v>
      </c>
      <c r="I59" s="9" t="s">
        <v>354</v>
      </c>
      <c r="J59" s="12" t="s">
        <v>399</v>
      </c>
      <c r="K59" s="9" t="s">
        <v>57</v>
      </c>
      <c r="L59" s="11" t="s">
        <v>256</v>
      </c>
      <c r="M59" s="13"/>
      <c r="N59" s="14" t="s">
        <v>59</v>
      </c>
      <c r="O59" s="10"/>
    </row>
    <row r="60" spans="1:15" ht="25.5" x14ac:dyDescent="0.2">
      <c r="A60" s="9" t="s">
        <v>400</v>
      </c>
      <c r="B60" s="10" t="s">
        <v>401</v>
      </c>
      <c r="C60" s="10" t="s">
        <v>402</v>
      </c>
      <c r="D60" s="11" t="s">
        <v>62</v>
      </c>
      <c r="E60" s="9" t="s">
        <v>51</v>
      </c>
      <c r="F60" s="10" t="s">
        <v>403</v>
      </c>
      <c r="G60" s="12" t="s">
        <v>404</v>
      </c>
      <c r="H60" s="10" t="s">
        <v>405</v>
      </c>
      <c r="I60" s="9" t="s">
        <v>406</v>
      </c>
      <c r="J60" s="12" t="s">
        <v>407</v>
      </c>
      <c r="K60" s="9" t="s">
        <v>57</v>
      </c>
      <c r="L60" s="11" t="s">
        <v>68</v>
      </c>
      <c r="M60" s="13"/>
      <c r="N60" s="14" t="s">
        <v>59</v>
      </c>
      <c r="O60" s="10" t="s">
        <v>408</v>
      </c>
    </row>
    <row r="61" spans="1:15" ht="38.25" x14ac:dyDescent="0.2">
      <c r="A61" s="9" t="s">
        <v>409</v>
      </c>
      <c r="B61" s="10" t="s">
        <v>401</v>
      </c>
      <c r="C61" s="10" t="s">
        <v>410</v>
      </c>
      <c r="D61" s="11" t="s">
        <v>62</v>
      </c>
      <c r="E61" s="9" t="s">
        <v>51</v>
      </c>
      <c r="F61" s="10" t="s">
        <v>411</v>
      </c>
      <c r="G61" s="12" t="s">
        <v>412</v>
      </c>
      <c r="H61" s="12" t="s">
        <v>413</v>
      </c>
      <c r="I61" s="9" t="s">
        <v>414</v>
      </c>
      <c r="J61" s="12" t="s">
        <v>415</v>
      </c>
      <c r="K61" s="9" t="s">
        <v>255</v>
      </c>
      <c r="L61" s="11" t="s">
        <v>256</v>
      </c>
      <c r="M61" s="13"/>
      <c r="N61" s="14" t="s">
        <v>59</v>
      </c>
      <c r="O61" s="10"/>
    </row>
    <row r="62" spans="1:15" ht="38.25" x14ac:dyDescent="0.2">
      <c r="A62" s="9" t="s">
        <v>416</v>
      </c>
      <c r="B62" s="10" t="s">
        <v>401</v>
      </c>
      <c r="C62" s="10" t="s">
        <v>417</v>
      </c>
      <c r="D62" s="11" t="s">
        <v>50</v>
      </c>
      <c r="E62" s="9" t="s">
        <v>51</v>
      </c>
      <c r="F62" s="10" t="s">
        <v>418</v>
      </c>
      <c r="G62" s="12" t="s">
        <v>419</v>
      </c>
      <c r="H62" s="12" t="s">
        <v>420</v>
      </c>
      <c r="I62" s="9" t="s">
        <v>421</v>
      </c>
      <c r="J62" s="12" t="s">
        <v>422</v>
      </c>
      <c r="K62" s="9" t="s">
        <v>57</v>
      </c>
      <c r="L62" s="11" t="s">
        <v>256</v>
      </c>
      <c r="M62" s="13"/>
      <c r="N62" s="14" t="s">
        <v>59</v>
      </c>
      <c r="O62" s="12" t="s">
        <v>423</v>
      </c>
    </row>
    <row r="63" spans="1:15" ht="38.25" x14ac:dyDescent="0.2">
      <c r="A63" s="9" t="s">
        <v>424</v>
      </c>
      <c r="B63" s="10" t="s">
        <v>401</v>
      </c>
      <c r="C63" s="10" t="s">
        <v>425</v>
      </c>
      <c r="D63" s="11" t="s">
        <v>50</v>
      </c>
      <c r="E63" s="9" t="s">
        <v>95</v>
      </c>
      <c r="F63" s="10" t="s">
        <v>418</v>
      </c>
      <c r="G63" s="12" t="s">
        <v>426</v>
      </c>
      <c r="H63" s="10" t="s">
        <v>427</v>
      </c>
      <c r="I63" s="9" t="s">
        <v>421</v>
      </c>
      <c r="J63" s="12" t="s">
        <v>422</v>
      </c>
      <c r="K63" s="9" t="s">
        <v>57</v>
      </c>
      <c r="L63" s="11" t="s">
        <v>92</v>
      </c>
      <c r="M63" s="13"/>
      <c r="N63" s="14" t="s">
        <v>59</v>
      </c>
      <c r="O63" s="10"/>
    </row>
    <row r="64" spans="1:15" ht="25.5" x14ac:dyDescent="0.2">
      <c r="A64" s="9" t="s">
        <v>428</v>
      </c>
      <c r="B64" s="10" t="s">
        <v>401</v>
      </c>
      <c r="C64" s="10" t="s">
        <v>429</v>
      </c>
      <c r="D64" s="11" t="s">
        <v>158</v>
      </c>
      <c r="E64" s="9" t="s">
        <v>95</v>
      </c>
      <c r="F64" s="10" t="s">
        <v>411</v>
      </c>
      <c r="G64" s="12" t="s">
        <v>430</v>
      </c>
      <c r="H64" s="12" t="s">
        <v>431</v>
      </c>
      <c r="I64" s="9" t="s">
        <v>421</v>
      </c>
      <c r="J64" s="12" t="s">
        <v>432</v>
      </c>
      <c r="K64" s="9" t="s">
        <v>255</v>
      </c>
      <c r="L64" s="11" t="s">
        <v>92</v>
      </c>
      <c r="M64" s="13"/>
      <c r="N64" s="14" t="s">
        <v>59</v>
      </c>
      <c r="O64" s="10"/>
    </row>
    <row r="65" spans="1:15" ht="25.5" x14ac:dyDescent="0.2">
      <c r="A65" s="9" t="s">
        <v>433</v>
      </c>
      <c r="B65" s="10" t="s">
        <v>401</v>
      </c>
      <c r="C65" s="10" t="s">
        <v>434</v>
      </c>
      <c r="D65" s="11" t="s">
        <v>158</v>
      </c>
      <c r="E65" s="9" t="s">
        <v>95</v>
      </c>
      <c r="F65" s="10" t="s">
        <v>411</v>
      </c>
      <c r="G65" s="12" t="s">
        <v>435</v>
      </c>
      <c r="H65" s="12" t="s">
        <v>436</v>
      </c>
      <c r="I65" s="9" t="s">
        <v>421</v>
      </c>
      <c r="J65" s="12" t="s">
        <v>437</v>
      </c>
      <c r="K65" s="9" t="s">
        <v>255</v>
      </c>
      <c r="L65" s="11" t="s">
        <v>92</v>
      </c>
      <c r="M65" s="13"/>
      <c r="N65" s="14" t="s">
        <v>59</v>
      </c>
      <c r="O65" s="10"/>
    </row>
    <row r="66" spans="1:15" ht="38.25" x14ac:dyDescent="0.2">
      <c r="A66" s="9" t="s">
        <v>438</v>
      </c>
      <c r="B66" s="10" t="s">
        <v>401</v>
      </c>
      <c r="C66" s="10" t="s">
        <v>439</v>
      </c>
      <c r="D66" s="11" t="s">
        <v>50</v>
      </c>
      <c r="E66" s="9" t="s">
        <v>95</v>
      </c>
      <c r="F66" s="10" t="s">
        <v>418</v>
      </c>
      <c r="G66" s="12" t="s">
        <v>440</v>
      </c>
      <c r="H66" s="10" t="s">
        <v>441</v>
      </c>
      <c r="I66" s="9" t="s">
        <v>421</v>
      </c>
      <c r="J66" s="12" t="s">
        <v>442</v>
      </c>
      <c r="K66" s="9" t="s">
        <v>57</v>
      </c>
      <c r="L66" s="11" t="s">
        <v>92</v>
      </c>
      <c r="M66" s="13"/>
      <c r="N66" s="14" t="s">
        <v>59</v>
      </c>
      <c r="O66" s="10"/>
    </row>
    <row r="67" spans="1:15" ht="25.5" x14ac:dyDescent="0.2">
      <c r="A67" s="9" t="s">
        <v>443</v>
      </c>
      <c r="B67" s="10" t="s">
        <v>401</v>
      </c>
      <c r="C67" s="10" t="s">
        <v>444</v>
      </c>
      <c r="D67" s="11" t="s">
        <v>62</v>
      </c>
      <c r="E67" s="9" t="s">
        <v>51</v>
      </c>
      <c r="F67" s="10" t="s">
        <v>411</v>
      </c>
      <c r="G67" s="12" t="s">
        <v>445</v>
      </c>
      <c r="H67" s="10" t="s">
        <v>446</v>
      </c>
      <c r="I67" s="9" t="s">
        <v>414</v>
      </c>
      <c r="J67" s="12" t="s">
        <v>447</v>
      </c>
      <c r="K67" s="9" t="s">
        <v>255</v>
      </c>
      <c r="L67" s="11" t="s">
        <v>92</v>
      </c>
      <c r="M67" s="13"/>
      <c r="N67" s="14" t="s">
        <v>59</v>
      </c>
      <c r="O67" s="10"/>
    </row>
    <row r="68" spans="1:15" ht="38.25" x14ac:dyDescent="0.2">
      <c r="A68" s="9" t="s">
        <v>448</v>
      </c>
      <c r="B68" s="10" t="s">
        <v>401</v>
      </c>
      <c r="C68" s="10" t="s">
        <v>449</v>
      </c>
      <c r="D68" s="11" t="s">
        <v>62</v>
      </c>
      <c r="E68" s="9" t="s">
        <v>51</v>
      </c>
      <c r="F68" s="10" t="s">
        <v>450</v>
      </c>
      <c r="G68" s="12" t="s">
        <v>451</v>
      </c>
      <c r="H68" s="10" t="s">
        <v>452</v>
      </c>
      <c r="I68" s="9" t="s">
        <v>453</v>
      </c>
      <c r="J68" s="12" t="s">
        <v>454</v>
      </c>
      <c r="K68" s="9" t="s">
        <v>255</v>
      </c>
      <c r="L68" s="11" t="s">
        <v>256</v>
      </c>
      <c r="M68" s="13"/>
      <c r="N68" s="14" t="s">
        <v>59</v>
      </c>
      <c r="O68" s="10"/>
    </row>
    <row r="69" spans="1:15" ht="38.25" x14ac:dyDescent="0.2">
      <c r="A69" s="16" t="s">
        <v>455</v>
      </c>
      <c r="B69" s="10" t="s">
        <v>401</v>
      </c>
      <c r="C69" s="18" t="s">
        <v>456</v>
      </c>
      <c r="D69" s="11" t="s">
        <v>50</v>
      </c>
      <c r="E69" s="9" t="s">
        <v>95</v>
      </c>
      <c r="F69" s="10" t="s">
        <v>457</v>
      </c>
      <c r="G69" s="12" t="s">
        <v>458</v>
      </c>
      <c r="H69" s="17" t="s">
        <v>459</v>
      </c>
      <c r="I69" s="11" t="s">
        <v>460</v>
      </c>
      <c r="J69" s="10" t="s">
        <v>461</v>
      </c>
      <c r="K69" s="9" t="s">
        <v>255</v>
      </c>
      <c r="L69" s="11" t="s">
        <v>92</v>
      </c>
      <c r="M69" s="13"/>
      <c r="N69" s="14" t="s">
        <v>59</v>
      </c>
      <c r="O69" s="12" t="s">
        <v>462</v>
      </c>
    </row>
    <row r="70" spans="1:15" ht="25.5" x14ac:dyDescent="0.2">
      <c r="A70" s="9" t="s">
        <v>463</v>
      </c>
      <c r="B70" s="12" t="s">
        <v>464</v>
      </c>
      <c r="C70" s="12" t="s">
        <v>465</v>
      </c>
      <c r="D70" s="11" t="s">
        <v>62</v>
      </c>
      <c r="E70" s="9" t="s">
        <v>95</v>
      </c>
      <c r="F70" s="10" t="s">
        <v>466</v>
      </c>
      <c r="G70" s="12" t="s">
        <v>467</v>
      </c>
      <c r="H70" s="12" t="s">
        <v>468</v>
      </c>
      <c r="I70" s="9" t="s">
        <v>207</v>
      </c>
      <c r="J70" s="12" t="s">
        <v>469</v>
      </c>
      <c r="K70" s="9" t="s">
        <v>57</v>
      </c>
      <c r="L70" s="11" t="s">
        <v>92</v>
      </c>
      <c r="M70" s="13"/>
      <c r="N70" s="14" t="s">
        <v>59</v>
      </c>
      <c r="O70" s="10"/>
    </row>
    <row r="71" spans="1:15" x14ac:dyDescent="0.2">
      <c r="A71" s="9" t="s">
        <v>470</v>
      </c>
      <c r="B71" s="12" t="s">
        <v>464</v>
      </c>
      <c r="C71" s="10" t="s">
        <v>471</v>
      </c>
      <c r="D71" s="11" t="s">
        <v>50</v>
      </c>
      <c r="E71" s="9" t="s">
        <v>95</v>
      </c>
      <c r="F71" s="10" t="s">
        <v>466</v>
      </c>
      <c r="G71" s="12" t="s">
        <v>472</v>
      </c>
      <c r="H71" s="12" t="s">
        <v>473</v>
      </c>
      <c r="I71" s="9" t="s">
        <v>173</v>
      </c>
      <c r="J71" s="12" t="s">
        <v>474</v>
      </c>
      <c r="K71" s="9" t="s">
        <v>57</v>
      </c>
      <c r="L71" s="11" t="s">
        <v>92</v>
      </c>
      <c r="M71" s="13"/>
      <c r="N71" s="14" t="s">
        <v>59</v>
      </c>
      <c r="O71" s="10"/>
    </row>
    <row r="72" spans="1:15" x14ac:dyDescent="0.2">
      <c r="A72" s="9" t="s">
        <v>475</v>
      </c>
      <c r="B72" s="12" t="s">
        <v>464</v>
      </c>
      <c r="C72" s="10" t="s">
        <v>476</v>
      </c>
      <c r="D72" s="11" t="s">
        <v>50</v>
      </c>
      <c r="E72" s="9" t="s">
        <v>95</v>
      </c>
      <c r="F72" s="10" t="s">
        <v>466</v>
      </c>
      <c r="G72" s="12" t="s">
        <v>477</v>
      </c>
      <c r="H72" s="12" t="s">
        <v>478</v>
      </c>
      <c r="I72" s="9" t="s">
        <v>173</v>
      </c>
      <c r="J72" s="12" t="s">
        <v>474</v>
      </c>
      <c r="K72" s="9" t="s">
        <v>57</v>
      </c>
      <c r="L72" s="11" t="s">
        <v>92</v>
      </c>
      <c r="M72" s="13"/>
      <c r="N72" s="14" t="s">
        <v>59</v>
      </c>
      <c r="O72" s="10"/>
    </row>
    <row r="73" spans="1:15" ht="25.5" x14ac:dyDescent="0.2">
      <c r="A73" s="9" t="s">
        <v>479</v>
      </c>
      <c r="B73" s="12" t="s">
        <v>464</v>
      </c>
      <c r="C73" s="10" t="s">
        <v>480</v>
      </c>
      <c r="D73" s="11" t="s">
        <v>50</v>
      </c>
      <c r="E73" s="9" t="s">
        <v>95</v>
      </c>
      <c r="F73" s="10" t="s">
        <v>466</v>
      </c>
      <c r="G73" s="12" t="s">
        <v>481</v>
      </c>
      <c r="H73" s="12" t="s">
        <v>482</v>
      </c>
      <c r="I73" s="9" t="s">
        <v>261</v>
      </c>
      <c r="J73" s="12" t="s">
        <v>474</v>
      </c>
      <c r="K73" s="9" t="s">
        <v>57</v>
      </c>
      <c r="L73" s="11" t="s">
        <v>92</v>
      </c>
      <c r="M73" s="13"/>
      <c r="N73" s="14" t="s">
        <v>59</v>
      </c>
      <c r="O73" s="10"/>
    </row>
    <row r="74" spans="1:15" x14ac:dyDescent="0.2">
      <c r="A74" s="9" t="s">
        <v>483</v>
      </c>
      <c r="B74" s="12" t="s">
        <v>464</v>
      </c>
      <c r="C74" s="10" t="s">
        <v>484</v>
      </c>
      <c r="D74" s="11" t="s">
        <v>50</v>
      </c>
      <c r="E74" s="9" t="s">
        <v>51</v>
      </c>
      <c r="F74" s="10" t="s">
        <v>466</v>
      </c>
      <c r="G74" s="12" t="s">
        <v>485</v>
      </c>
      <c r="H74" s="12" t="s">
        <v>486</v>
      </c>
      <c r="I74" s="9" t="s">
        <v>283</v>
      </c>
      <c r="J74" s="12" t="s">
        <v>474</v>
      </c>
      <c r="K74" s="9" t="s">
        <v>57</v>
      </c>
      <c r="L74" s="11" t="s">
        <v>92</v>
      </c>
      <c r="M74" s="13"/>
      <c r="N74" s="14" t="s">
        <v>59</v>
      </c>
      <c r="O74" s="10"/>
    </row>
    <row r="75" spans="1:15" x14ac:dyDescent="0.2">
      <c r="A75" s="9" t="s">
        <v>487</v>
      </c>
      <c r="B75" s="12" t="s">
        <v>464</v>
      </c>
      <c r="C75" s="10" t="s">
        <v>488</v>
      </c>
      <c r="D75" s="11" t="s">
        <v>158</v>
      </c>
      <c r="E75" s="9" t="s">
        <v>76</v>
      </c>
      <c r="F75" s="10" t="s">
        <v>466</v>
      </c>
      <c r="G75" s="12" t="s">
        <v>489</v>
      </c>
      <c r="H75" s="12" t="s">
        <v>490</v>
      </c>
      <c r="I75" s="9" t="s">
        <v>261</v>
      </c>
      <c r="J75" s="12" t="s">
        <v>474</v>
      </c>
      <c r="K75" s="9" t="s">
        <v>57</v>
      </c>
      <c r="L75" s="11" t="s">
        <v>92</v>
      </c>
      <c r="M75" s="13"/>
      <c r="N75" s="14" t="s">
        <v>59</v>
      </c>
      <c r="O75" s="10"/>
    </row>
    <row r="76" spans="1:15" x14ac:dyDescent="0.2">
      <c r="A76" s="16" t="s">
        <v>491</v>
      </c>
      <c r="B76" s="12" t="s">
        <v>464</v>
      </c>
      <c r="C76" s="17" t="s">
        <v>492</v>
      </c>
      <c r="D76" s="11" t="s">
        <v>50</v>
      </c>
      <c r="E76" s="9" t="s">
        <v>76</v>
      </c>
      <c r="F76" s="10" t="s">
        <v>466</v>
      </c>
      <c r="G76" s="12" t="s">
        <v>493</v>
      </c>
      <c r="H76" s="18" t="s">
        <v>494</v>
      </c>
      <c r="I76" s="9" t="s">
        <v>173</v>
      </c>
      <c r="J76" s="12" t="s">
        <v>474</v>
      </c>
      <c r="K76" s="9" t="s">
        <v>57</v>
      </c>
      <c r="L76" s="11" t="s">
        <v>92</v>
      </c>
      <c r="M76" s="13"/>
      <c r="N76" s="14" t="s">
        <v>59</v>
      </c>
      <c r="O76" s="10" t="s">
        <v>495</v>
      </c>
    </row>
    <row r="77" spans="1:15" ht="76.5" x14ac:dyDescent="0.2">
      <c r="A77" s="9" t="s">
        <v>496</v>
      </c>
      <c r="B77" s="10" t="s">
        <v>497</v>
      </c>
      <c r="C77" s="10" t="s">
        <v>498</v>
      </c>
      <c r="D77" s="11" t="s">
        <v>62</v>
      </c>
      <c r="E77" s="9" t="s">
        <v>51</v>
      </c>
      <c r="F77" s="10" t="s">
        <v>499</v>
      </c>
      <c r="G77" s="12" t="s">
        <v>500</v>
      </c>
      <c r="H77" s="10" t="s">
        <v>501</v>
      </c>
      <c r="I77" s="9" t="s">
        <v>502</v>
      </c>
      <c r="J77" s="10" t="s">
        <v>503</v>
      </c>
      <c r="K77" s="9" t="s">
        <v>255</v>
      </c>
      <c r="L77" s="11" t="s">
        <v>92</v>
      </c>
      <c r="M77" s="13"/>
      <c r="N77" s="14" t="s">
        <v>59</v>
      </c>
      <c r="O77" s="10"/>
    </row>
    <row r="78" spans="1:15" ht="51" x14ac:dyDescent="0.2">
      <c r="A78" s="9" t="s">
        <v>504</v>
      </c>
      <c r="B78" s="10" t="s">
        <v>497</v>
      </c>
      <c r="C78" s="10" t="s">
        <v>505</v>
      </c>
      <c r="D78" s="11" t="s">
        <v>62</v>
      </c>
      <c r="E78" s="9" t="s">
        <v>95</v>
      </c>
      <c r="F78" s="10" t="s">
        <v>499</v>
      </c>
      <c r="G78" s="12" t="s">
        <v>506</v>
      </c>
      <c r="H78" s="10" t="s">
        <v>507</v>
      </c>
      <c r="I78" s="9" t="s">
        <v>508</v>
      </c>
      <c r="J78" s="12" t="s">
        <v>509</v>
      </c>
      <c r="K78" s="9" t="s">
        <v>255</v>
      </c>
      <c r="L78" s="11" t="s">
        <v>92</v>
      </c>
      <c r="M78" s="13"/>
      <c r="N78" s="14" t="s">
        <v>59</v>
      </c>
      <c r="O78" s="10"/>
    </row>
  </sheetData>
  <autoFilter ref="A4:O78" xr:uid="{00000000-0009-0000-0000-000001000000}"/>
  <phoneticPr fontId="17" type="noConversion"/>
  <dataValidations count="4">
    <dataValidation type="list" sqref="E5:E78" xr:uid="{00000000-0002-0000-0100-000000000000}">
      <formula1>"P1,P2,P3"</formula1>
      <formula2>0</formula2>
    </dataValidation>
    <dataValidation type="list" sqref="N5:N78" xr:uid="{00000000-0002-0000-0100-000001000000}">
      <formula1>"미작성,작성중,완료,보류"</formula1>
      <formula2>0</formula2>
    </dataValidation>
    <dataValidation type="list" sqref="K5:K78" xr:uid="{00000000-0002-0000-0100-000002000000}">
      <formula1>"Y,N"</formula1>
      <formula2>0</formula2>
    </dataValidation>
    <dataValidation type="list" sqref="D5:D78" xr:uid="{00000000-0002-0000-0100-000003000000}">
      <formula1>"정상,예외,경계"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zoomScaleNormal="100" workbookViewId="0"/>
  </sheetViews>
  <sheetFormatPr defaultColWidth="7.21875" defaultRowHeight="14.25" x14ac:dyDescent="0.2"/>
  <cols>
    <col min="1" max="1" width="28.33203125" customWidth="1"/>
    <col min="2" max="8" width="10.88671875" customWidth="1"/>
  </cols>
  <sheetData>
    <row r="1" spans="1:8" ht="18" x14ac:dyDescent="0.25">
      <c r="A1" s="19" t="s">
        <v>510</v>
      </c>
    </row>
    <row r="2" spans="1:8" x14ac:dyDescent="0.2">
      <c r="A2" s="6" t="s">
        <v>511</v>
      </c>
    </row>
    <row r="4" spans="1:8" x14ac:dyDescent="0.2">
      <c r="A4" s="8" t="s">
        <v>33</v>
      </c>
      <c r="B4" s="7" t="s">
        <v>51</v>
      </c>
      <c r="C4" s="7" t="s">
        <v>95</v>
      </c>
      <c r="D4" s="7" t="s">
        <v>76</v>
      </c>
      <c r="E4" s="8" t="s">
        <v>512</v>
      </c>
      <c r="F4" s="8" t="s">
        <v>513</v>
      </c>
      <c r="G4" s="8" t="s">
        <v>514</v>
      </c>
      <c r="H4" s="8" t="s">
        <v>515</v>
      </c>
    </row>
    <row r="5" spans="1:8" x14ac:dyDescent="0.2">
      <c r="A5" s="20" t="s">
        <v>48</v>
      </c>
      <c r="B5" s="21">
        <f>COUNTIFS(시나리오!$B$5:$B$78,$A5,시나리오!$E$5:$E$78,"P1")</f>
        <v>4</v>
      </c>
      <c r="C5" s="21">
        <f>COUNTIFS(시나리오!$B$5:$B$78,$A5,시나리오!$E$5:$E$78,"P2")</f>
        <v>2</v>
      </c>
      <c r="D5" s="21">
        <f>COUNTIFS(시나리오!$B$5:$B$78,$A5,시나리오!$E$5:$E$78,"P3")</f>
        <v>3</v>
      </c>
      <c r="E5" s="21">
        <f t="shared" ref="E5:E12" si="0">SUM(B5:D5)</f>
        <v>9</v>
      </c>
      <c r="F5" s="21">
        <f>COUNTIFS(시나리오!$B$5:$B$78,$A5,시나리오!$N$5:$N$78,"완료")</f>
        <v>0</v>
      </c>
      <c r="G5" s="22">
        <f t="shared" ref="G5:G13" si="1">IF(E5=0,0,F5/E5)</f>
        <v>0</v>
      </c>
      <c r="H5" s="21">
        <f>COUNTIFS(시나리오!$B$5:$B$78,$A5,시나리오!$M$5:$M$78,"")</f>
        <v>9</v>
      </c>
    </row>
    <row r="6" spans="1:8" x14ac:dyDescent="0.2">
      <c r="A6" s="20" t="s">
        <v>111</v>
      </c>
      <c r="B6" s="21">
        <f>COUNTIFS(시나리오!$B$5:$B$78,$A6,시나리오!$E$5:$E$78,"P1")</f>
        <v>6</v>
      </c>
      <c r="C6" s="21">
        <f>COUNTIFS(시나리오!$B$5:$B$78,$A6,시나리오!$E$5:$E$78,"P2")</f>
        <v>13</v>
      </c>
      <c r="D6" s="21">
        <f>COUNTIFS(시나리오!$B$5:$B$78,$A6,시나리오!$E$5:$E$78,"P3")</f>
        <v>3</v>
      </c>
      <c r="E6" s="21">
        <f t="shared" si="0"/>
        <v>22</v>
      </c>
      <c r="F6" s="21">
        <f>COUNTIFS(시나리오!$B$5:$B$78,$A6,시나리오!$N$5:$N$78,"완료")</f>
        <v>0</v>
      </c>
      <c r="G6" s="22">
        <f t="shared" si="1"/>
        <v>0</v>
      </c>
      <c r="H6" s="21">
        <f>COUNTIFS(시나리오!$B$5:$B$78,$A6,시나리오!$M$5:$M$78,"")</f>
        <v>22</v>
      </c>
    </row>
    <row r="7" spans="1:8" x14ac:dyDescent="0.2">
      <c r="A7" s="20" t="s">
        <v>249</v>
      </c>
      <c r="B7" s="21">
        <f>COUNTIFS(시나리오!$B$5:$B$78,$A7,시나리오!$E$5:$E$78,"P1")</f>
        <v>3</v>
      </c>
      <c r="C7" s="21">
        <f>COUNTIFS(시나리오!$B$5:$B$78,$A7,시나리오!$E$5:$E$78,"P2")</f>
        <v>4</v>
      </c>
      <c r="D7" s="21">
        <f>COUNTIFS(시나리오!$B$5:$B$78,$A7,시나리오!$E$5:$E$78,"P3")</f>
        <v>1</v>
      </c>
      <c r="E7" s="21">
        <f t="shared" si="0"/>
        <v>8</v>
      </c>
      <c r="F7" s="21">
        <f>COUNTIFS(시나리오!$B$5:$B$78,$A7,시나리오!$N$5:$N$78,"완료")</f>
        <v>0</v>
      </c>
      <c r="G7" s="22">
        <f t="shared" si="1"/>
        <v>0</v>
      </c>
      <c r="H7" s="21">
        <f>COUNTIFS(시나리오!$B$5:$B$78,$A7,시나리오!$M$5:$M$78,"")</f>
        <v>8</v>
      </c>
    </row>
    <row r="8" spans="1:8" x14ac:dyDescent="0.2">
      <c r="A8" s="20" t="s">
        <v>300</v>
      </c>
      <c r="B8" s="21">
        <f>COUNTIFS(시나리오!$B$5:$B$78,$A8,시나리오!$E$5:$E$78,"P1")</f>
        <v>2</v>
      </c>
      <c r="C8" s="21">
        <f>COUNTIFS(시나리오!$B$5:$B$78,$A8,시나리오!$E$5:$E$78,"P2")</f>
        <v>2</v>
      </c>
      <c r="D8" s="21">
        <f>COUNTIFS(시나리오!$B$5:$B$78,$A8,시나리오!$E$5:$E$78,"P3")</f>
        <v>2</v>
      </c>
      <c r="E8" s="21">
        <f t="shared" si="0"/>
        <v>6</v>
      </c>
      <c r="F8" s="21">
        <f>COUNTIFS(시나리오!$B$5:$B$78,$A8,시나리오!$N$5:$N$78,"완료")</f>
        <v>0</v>
      </c>
      <c r="G8" s="22">
        <f t="shared" si="1"/>
        <v>0</v>
      </c>
      <c r="H8" s="21">
        <f>COUNTIFS(시나리오!$B$5:$B$78,$A8,시나리오!$M$5:$M$78,"")</f>
        <v>6</v>
      </c>
    </row>
    <row r="9" spans="1:8" x14ac:dyDescent="0.2">
      <c r="A9" s="20" t="s">
        <v>335</v>
      </c>
      <c r="B9" s="21">
        <f>COUNTIFS(시나리오!$B$5:$B$78,$A9,시나리오!$E$5:$E$78,"P1")</f>
        <v>6</v>
      </c>
      <c r="C9" s="21">
        <f>COUNTIFS(시나리오!$B$5:$B$78,$A9,시나리오!$E$5:$E$78,"P2")</f>
        <v>4</v>
      </c>
      <c r="D9" s="21">
        <f>COUNTIFS(시나리오!$B$5:$B$78,$A9,시나리오!$E$5:$E$78,"P3")</f>
        <v>0</v>
      </c>
      <c r="E9" s="21">
        <f t="shared" si="0"/>
        <v>10</v>
      </c>
      <c r="F9" s="21">
        <f>COUNTIFS(시나리오!$B$5:$B$78,$A9,시나리오!$N$5:$N$78,"완료")</f>
        <v>0</v>
      </c>
      <c r="G9" s="22">
        <f t="shared" si="1"/>
        <v>0</v>
      </c>
      <c r="H9" s="21">
        <f>COUNTIFS(시나리오!$B$5:$B$78,$A9,시나리오!$M$5:$M$78,"")</f>
        <v>10</v>
      </c>
    </row>
    <row r="10" spans="1:8" x14ac:dyDescent="0.2">
      <c r="A10" s="20" t="s">
        <v>401</v>
      </c>
      <c r="B10" s="21">
        <f>COUNTIFS(시나리오!$B$5:$B$78,$A10,시나리오!$E$5:$E$78,"P1")</f>
        <v>5</v>
      </c>
      <c r="C10" s="21">
        <f>COUNTIFS(시나리오!$B$5:$B$78,$A10,시나리오!$E$5:$E$78,"P2")</f>
        <v>5</v>
      </c>
      <c r="D10" s="21">
        <f>COUNTIFS(시나리오!$B$5:$B$78,$A10,시나리오!$E$5:$E$78,"P3")</f>
        <v>0</v>
      </c>
      <c r="E10" s="21">
        <f t="shared" si="0"/>
        <v>10</v>
      </c>
      <c r="F10" s="21">
        <f>COUNTIFS(시나리오!$B$5:$B$78,$A10,시나리오!$N$5:$N$78,"완료")</f>
        <v>0</v>
      </c>
      <c r="G10" s="22">
        <f t="shared" si="1"/>
        <v>0</v>
      </c>
      <c r="H10" s="21">
        <f>COUNTIFS(시나리오!$B$5:$B$78,$A10,시나리오!$M$5:$M$78,"")</f>
        <v>10</v>
      </c>
    </row>
    <row r="11" spans="1:8" x14ac:dyDescent="0.2">
      <c r="A11" s="23" t="s">
        <v>464</v>
      </c>
      <c r="B11" s="21">
        <f>COUNTIFS(시나리오!$B$5:$B$78,$A11,시나리오!$E$5:$E$78,"P1")</f>
        <v>1</v>
      </c>
      <c r="C11" s="21">
        <f>COUNTIFS(시나리오!$B$5:$B$78,$A11,시나리오!$E$5:$E$78,"P2")</f>
        <v>4</v>
      </c>
      <c r="D11" s="21">
        <f>COUNTIFS(시나리오!$B$5:$B$78,$A11,시나리오!$E$5:$E$78,"P3")</f>
        <v>2</v>
      </c>
      <c r="E11" s="21">
        <f t="shared" si="0"/>
        <v>7</v>
      </c>
      <c r="F11" s="21">
        <f>COUNTIFS(시나리오!$B$5:$B$78,$A11,시나리오!$N$5:$N$78,"완료")</f>
        <v>0</v>
      </c>
      <c r="G11" s="22">
        <f t="shared" si="1"/>
        <v>0</v>
      </c>
      <c r="H11" s="21">
        <f>COUNTIFS(시나리오!$B$5:$B$78,$A11,시나리오!$M$5:$M$78,"")</f>
        <v>7</v>
      </c>
    </row>
    <row r="12" spans="1:8" x14ac:dyDescent="0.2">
      <c r="A12" s="20" t="s">
        <v>497</v>
      </c>
      <c r="B12" s="21">
        <f>COUNTIFS(시나리오!$B$5:$B$78,$A12,시나리오!$E$5:$E$78,"P1")</f>
        <v>1</v>
      </c>
      <c r="C12" s="21">
        <f>COUNTIFS(시나리오!$B$5:$B$78,$A12,시나리오!$E$5:$E$78,"P2")</f>
        <v>1</v>
      </c>
      <c r="D12" s="21">
        <f>COUNTIFS(시나리오!$B$5:$B$78,$A12,시나리오!$E$5:$E$78,"P3")</f>
        <v>0</v>
      </c>
      <c r="E12" s="21">
        <f t="shared" si="0"/>
        <v>2</v>
      </c>
      <c r="F12" s="21">
        <f>COUNTIFS(시나리오!$B$5:$B$78,$A12,시나리오!$N$5:$N$78,"완료")</f>
        <v>0</v>
      </c>
      <c r="G12" s="22">
        <f t="shared" si="1"/>
        <v>0</v>
      </c>
      <c r="H12" s="21">
        <f>COUNTIFS(시나리오!$B$5:$B$78,$A12,시나리오!$M$5:$M$78,"")</f>
        <v>2</v>
      </c>
    </row>
    <row r="13" spans="1:8" x14ac:dyDescent="0.2">
      <c r="A13" s="24" t="s">
        <v>512</v>
      </c>
      <c r="B13" s="25">
        <f>SUM(B5:B12)</f>
        <v>28</v>
      </c>
      <c r="C13" s="25">
        <f>SUM(C5:C12)</f>
        <v>35</v>
      </c>
      <c r="D13" s="25">
        <f>SUM(D5:D12)</f>
        <v>11</v>
      </c>
      <c r="E13" s="25">
        <f>SUM(E5:E12)</f>
        <v>74</v>
      </c>
      <c r="F13" s="25">
        <f>SUM(F5:F12)</f>
        <v>0</v>
      </c>
      <c r="G13" s="26">
        <f t="shared" si="1"/>
        <v>0</v>
      </c>
      <c r="H13" s="25">
        <f>SUM(H5:H12)</f>
        <v>74</v>
      </c>
    </row>
    <row r="15" spans="1:8" ht="15.75" x14ac:dyDescent="0.25">
      <c r="A15" s="27" t="s">
        <v>516</v>
      </c>
    </row>
    <row r="16" spans="1:8" x14ac:dyDescent="0.2">
      <c r="A16" s="8" t="s">
        <v>517</v>
      </c>
      <c r="B16" s="8" t="s">
        <v>518</v>
      </c>
    </row>
    <row r="17" spans="1:2" x14ac:dyDescent="0.2">
      <c r="A17" s="28" t="s">
        <v>62</v>
      </c>
      <c r="B17" s="28">
        <f>COUNTIF(시나리오!$D$5:$D$78,A17)</f>
        <v>41</v>
      </c>
    </row>
    <row r="18" spans="1:2" x14ac:dyDescent="0.2">
      <c r="A18" s="28" t="s">
        <v>50</v>
      </c>
      <c r="B18" s="28">
        <f>COUNTIF(시나리오!$D$5:$D$78,A18)</f>
        <v>21</v>
      </c>
    </row>
    <row r="19" spans="1:2" x14ac:dyDescent="0.2">
      <c r="A19" s="28" t="s">
        <v>158</v>
      </c>
      <c r="B19" s="28">
        <f>COUNTIF(시나리오!$D$5:$D$78,A19)</f>
        <v>12</v>
      </c>
    </row>
    <row r="20" spans="1:2" x14ac:dyDescent="0.2">
      <c r="A20" s="29" t="s">
        <v>519</v>
      </c>
      <c r="B20" s="28">
        <f>COUNTIF(시나리오!$K$5:$K$78,"Y")</f>
        <v>21</v>
      </c>
    </row>
    <row r="21" spans="1:2" x14ac:dyDescent="0.2">
      <c r="A21" s="29" t="s">
        <v>520</v>
      </c>
      <c r="B21" s="28">
        <f>COUNTIF(시나리오!$K$5:$K$78,"N")</f>
        <v>53</v>
      </c>
    </row>
    <row r="23" spans="1:2" x14ac:dyDescent="0.2">
      <c r="A23" s="30" t="s">
        <v>521</v>
      </c>
    </row>
    <row r="25" spans="1:2" ht="15.75" x14ac:dyDescent="0.25">
      <c r="A25" s="27" t="s">
        <v>522</v>
      </c>
    </row>
    <row r="26" spans="1:2" x14ac:dyDescent="0.2">
      <c r="A26" s="8" t="s">
        <v>523</v>
      </c>
      <c r="B26" s="8" t="s">
        <v>518</v>
      </c>
    </row>
    <row r="27" spans="1:2" x14ac:dyDescent="0.2">
      <c r="A27" s="28" t="s">
        <v>524</v>
      </c>
      <c r="B27" s="31">
        <v>65</v>
      </c>
    </row>
    <row r="28" spans="1:2" x14ac:dyDescent="0.2">
      <c r="A28" s="28" t="s">
        <v>525</v>
      </c>
      <c r="B28" s="31">
        <v>34</v>
      </c>
    </row>
    <row r="29" spans="1:2" x14ac:dyDescent="0.2">
      <c r="A29" s="28" t="s">
        <v>526</v>
      </c>
      <c r="B29" s="31">
        <v>10</v>
      </c>
    </row>
    <row r="30" spans="1:2" x14ac:dyDescent="0.2">
      <c r="A30" s="32" t="s">
        <v>527</v>
      </c>
      <c r="B30" s="32">
        <f>COUNTA(시나리오!$A$5:$A$78)</f>
        <v>74</v>
      </c>
    </row>
    <row r="31" spans="1:2" x14ac:dyDescent="0.2">
      <c r="A31" s="28" t="s">
        <v>528</v>
      </c>
      <c r="B31" s="28" t="e">
        <f>B30-COUNTIF(시나리오!#REF!,"*초안 A*")</f>
        <v>#REF!</v>
      </c>
    </row>
    <row r="33" spans="1:1" x14ac:dyDescent="0.2">
      <c r="A33" s="6" t="s">
        <v>529</v>
      </c>
    </row>
  </sheetData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"/>
  <sheetViews>
    <sheetView zoomScaleNormal="100" workbookViewId="0"/>
  </sheetViews>
  <sheetFormatPr defaultColWidth="7.21875" defaultRowHeight="14.25" x14ac:dyDescent="0.2"/>
  <cols>
    <col min="1" max="1" width="20" customWidth="1"/>
    <col min="2" max="2" width="15" customWidth="1"/>
    <col min="3" max="3" width="11.6640625" customWidth="1"/>
    <col min="4" max="6" width="13.33203125" customWidth="1"/>
    <col min="7" max="7" width="15" customWidth="1"/>
  </cols>
  <sheetData>
    <row r="1" spans="1:7" ht="18" x14ac:dyDescent="0.25">
      <c r="A1" s="19" t="s">
        <v>530</v>
      </c>
    </row>
    <row r="2" spans="1:7" x14ac:dyDescent="0.2">
      <c r="A2" s="6" t="s">
        <v>531</v>
      </c>
    </row>
    <row r="4" spans="1:7" ht="15" x14ac:dyDescent="0.25">
      <c r="A4" s="33" t="s">
        <v>532</v>
      </c>
    </row>
    <row r="5" spans="1:7" x14ac:dyDescent="0.2">
      <c r="A5" s="8" t="s">
        <v>533</v>
      </c>
      <c r="B5" s="8" t="s">
        <v>534</v>
      </c>
      <c r="C5" s="8" t="s">
        <v>535</v>
      </c>
      <c r="D5" s="8" t="s">
        <v>536</v>
      </c>
      <c r="E5" s="8" t="s">
        <v>537</v>
      </c>
      <c r="F5" s="8" t="s">
        <v>538</v>
      </c>
      <c r="G5" s="8" t="s">
        <v>539</v>
      </c>
    </row>
    <row r="6" spans="1:7" ht="15" x14ac:dyDescent="0.25">
      <c r="A6" s="34" t="s">
        <v>540</v>
      </c>
      <c r="B6" s="35">
        <v>400</v>
      </c>
      <c r="C6" s="35">
        <v>4000</v>
      </c>
      <c r="D6" s="35">
        <v>700</v>
      </c>
      <c r="E6" s="36">
        <v>3000</v>
      </c>
      <c r="F6" s="37">
        <f>IF(E6&gt;0,ROUNDUP(E6/C6,0),0)</f>
        <v>1</v>
      </c>
      <c r="G6" s="38">
        <f>E6*1000*D6/100000000</f>
        <v>21</v>
      </c>
    </row>
    <row r="7" spans="1:7" ht="15" x14ac:dyDescent="0.25">
      <c r="A7" s="34" t="s">
        <v>541</v>
      </c>
      <c r="B7" s="35">
        <v>800</v>
      </c>
      <c r="C7" s="35">
        <v>2000</v>
      </c>
      <c r="D7" s="35">
        <v>900</v>
      </c>
      <c r="E7" s="36">
        <v>3000</v>
      </c>
      <c r="F7" s="37">
        <f>IF(E7&gt;0,ROUNDUP(E7/C7,0),0)</f>
        <v>2</v>
      </c>
      <c r="G7" s="38">
        <f>E7*1000*D7/100000000</f>
        <v>27</v>
      </c>
    </row>
    <row r="8" spans="1:7" ht="15" x14ac:dyDescent="0.25">
      <c r="A8" s="34" t="s">
        <v>542</v>
      </c>
      <c r="B8" s="35">
        <v>200</v>
      </c>
      <c r="C8" s="35">
        <v>10000</v>
      </c>
      <c r="D8" s="35">
        <v>550</v>
      </c>
      <c r="E8" s="36">
        <v>3000</v>
      </c>
      <c r="F8" s="37">
        <f>IF(E8&gt;0,ROUNDUP(E8/C8,0),0)</f>
        <v>1</v>
      </c>
      <c r="G8" s="38">
        <f>E8*1000*D8/100000000</f>
        <v>16.5</v>
      </c>
    </row>
    <row r="9" spans="1:7" ht="15" x14ac:dyDescent="0.25">
      <c r="A9" s="34" t="s">
        <v>543</v>
      </c>
      <c r="B9" s="35">
        <v>300</v>
      </c>
      <c r="C9" s="35">
        <v>7000</v>
      </c>
      <c r="D9" s="35">
        <v>450</v>
      </c>
      <c r="E9" s="36">
        <v>3000</v>
      </c>
      <c r="F9" s="37">
        <f>IF(E9&gt;0,ROUNDUP(E9/C9,0),0)</f>
        <v>1</v>
      </c>
      <c r="G9" s="38">
        <f>E9*1000*D9/100000000</f>
        <v>13.5</v>
      </c>
    </row>
    <row r="10" spans="1:7" x14ac:dyDescent="0.2">
      <c r="A10" s="39" t="s">
        <v>512</v>
      </c>
      <c r="B10" s="40"/>
      <c r="C10" s="40"/>
      <c r="D10" s="40"/>
      <c r="E10" s="40">
        <f>SUM(E6:E9)</f>
        <v>12000</v>
      </c>
      <c r="F10" s="40">
        <f>SUM(F6:F9)</f>
        <v>5</v>
      </c>
      <c r="G10" s="41">
        <f>SUM(G6:G9)</f>
        <v>78</v>
      </c>
    </row>
    <row r="11" spans="1:7" x14ac:dyDescent="0.2">
      <c r="A11" s="6" t="s">
        <v>544</v>
      </c>
    </row>
    <row r="13" spans="1:7" ht="15" x14ac:dyDescent="0.25">
      <c r="A13" s="33" t="s">
        <v>545</v>
      </c>
    </row>
    <row r="14" spans="1:7" x14ac:dyDescent="0.2">
      <c r="A14" s="8" t="s">
        <v>546</v>
      </c>
      <c r="B14" s="8" t="s">
        <v>547</v>
      </c>
      <c r="C14" s="8" t="s">
        <v>548</v>
      </c>
    </row>
    <row r="15" spans="1:7" x14ac:dyDescent="0.2">
      <c r="A15" s="28" t="s">
        <v>549</v>
      </c>
      <c r="B15" s="28" t="s">
        <v>540</v>
      </c>
      <c r="C15" s="31">
        <v>1</v>
      </c>
    </row>
    <row r="16" spans="1:7" x14ac:dyDescent="0.2">
      <c r="A16" s="28" t="s">
        <v>549</v>
      </c>
      <c r="B16" s="28" t="s">
        <v>541</v>
      </c>
      <c r="C16" s="31">
        <v>2</v>
      </c>
    </row>
    <row r="17" spans="1:6" x14ac:dyDescent="0.2">
      <c r="A17" s="28" t="s">
        <v>549</v>
      </c>
      <c r="B17" s="28" t="s">
        <v>542</v>
      </c>
      <c r="C17" s="31">
        <v>5</v>
      </c>
    </row>
    <row r="18" spans="1:6" x14ac:dyDescent="0.2">
      <c r="A18" s="28" t="s">
        <v>549</v>
      </c>
      <c r="B18" s="28" t="s">
        <v>543</v>
      </c>
      <c r="C18" s="31">
        <v>7</v>
      </c>
    </row>
    <row r="19" spans="1:6" x14ac:dyDescent="0.2">
      <c r="A19" s="28" t="s">
        <v>540</v>
      </c>
      <c r="B19" s="28" t="s">
        <v>541</v>
      </c>
      <c r="C19" s="31">
        <v>2</v>
      </c>
    </row>
    <row r="20" spans="1:6" x14ac:dyDescent="0.2">
      <c r="A20" s="28" t="s">
        <v>540</v>
      </c>
      <c r="B20" s="28" t="s">
        <v>542</v>
      </c>
      <c r="C20" s="31">
        <v>4</v>
      </c>
    </row>
    <row r="21" spans="1:6" x14ac:dyDescent="0.2">
      <c r="A21" s="28" t="s">
        <v>540</v>
      </c>
      <c r="B21" s="28" t="s">
        <v>543</v>
      </c>
      <c r="C21" s="31">
        <v>6</v>
      </c>
    </row>
    <row r="22" spans="1:6" x14ac:dyDescent="0.2">
      <c r="A22" s="28" t="s">
        <v>541</v>
      </c>
      <c r="B22" s="28" t="s">
        <v>542</v>
      </c>
      <c r="C22" s="31">
        <v>5</v>
      </c>
    </row>
    <row r="23" spans="1:6" x14ac:dyDescent="0.2">
      <c r="A23" s="28" t="s">
        <v>541</v>
      </c>
      <c r="B23" s="28" t="s">
        <v>543</v>
      </c>
      <c r="C23" s="31">
        <v>7</v>
      </c>
    </row>
    <row r="24" spans="1:6" x14ac:dyDescent="0.2">
      <c r="A24" s="28" t="s">
        <v>542</v>
      </c>
      <c r="B24" s="28" t="s">
        <v>543</v>
      </c>
      <c r="C24" s="31">
        <v>2</v>
      </c>
    </row>
    <row r="25" spans="1:6" x14ac:dyDescent="0.2">
      <c r="A25" s="6" t="s">
        <v>550</v>
      </c>
    </row>
    <row r="27" spans="1:6" ht="15" x14ac:dyDescent="0.25">
      <c r="A27" s="33" t="s">
        <v>551</v>
      </c>
    </row>
    <row r="28" spans="1:6" x14ac:dyDescent="0.2">
      <c r="A28" s="8" t="s">
        <v>523</v>
      </c>
      <c r="B28" s="8" t="s">
        <v>552</v>
      </c>
      <c r="C28" s="8" t="s">
        <v>553</v>
      </c>
      <c r="D28" s="8" t="s">
        <v>554</v>
      </c>
      <c r="E28" s="8" t="s">
        <v>555</v>
      </c>
      <c r="F28" s="8" t="s">
        <v>556</v>
      </c>
    </row>
    <row r="29" spans="1:6" x14ac:dyDescent="0.2">
      <c r="A29" s="28" t="s">
        <v>557</v>
      </c>
      <c r="B29" s="42">
        <v>1</v>
      </c>
      <c r="C29" s="42">
        <v>100000</v>
      </c>
      <c r="D29" s="42">
        <v>0</v>
      </c>
      <c r="E29" s="42">
        <v>100001</v>
      </c>
      <c r="F29" s="29" t="s">
        <v>558</v>
      </c>
    </row>
    <row r="30" spans="1:6" x14ac:dyDescent="0.2">
      <c r="A30" s="28" t="s">
        <v>559</v>
      </c>
      <c r="B30" s="42">
        <v>1</v>
      </c>
      <c r="C30" s="42">
        <v>4</v>
      </c>
      <c r="D30" s="42">
        <v>0</v>
      </c>
      <c r="E30" s="42">
        <v>5</v>
      </c>
      <c r="F30" s="29" t="s">
        <v>428</v>
      </c>
    </row>
    <row r="31" spans="1:6" x14ac:dyDescent="0.2">
      <c r="A31" s="28" t="s">
        <v>560</v>
      </c>
      <c r="B31" s="42">
        <v>1</v>
      </c>
      <c r="C31" s="42">
        <v>365</v>
      </c>
      <c r="D31" s="42">
        <v>0</v>
      </c>
      <c r="E31" s="42">
        <v>366</v>
      </c>
      <c r="F31" s="29" t="s">
        <v>433</v>
      </c>
    </row>
    <row r="32" spans="1:6" x14ac:dyDescent="0.2">
      <c r="A32" s="28" t="s">
        <v>561</v>
      </c>
      <c r="B32" s="42">
        <v>1</v>
      </c>
      <c r="C32" s="42">
        <v>1000000</v>
      </c>
      <c r="D32" s="42">
        <v>0</v>
      </c>
      <c r="E32" s="42">
        <v>1000001</v>
      </c>
      <c r="F32" s="29" t="s">
        <v>416</v>
      </c>
    </row>
    <row r="33" spans="1:6" x14ac:dyDescent="0.2">
      <c r="A33" s="28" t="s">
        <v>562</v>
      </c>
      <c r="B33" s="42">
        <v>1</v>
      </c>
      <c r="C33" s="42">
        <v>1000000</v>
      </c>
      <c r="D33" s="42">
        <v>0</v>
      </c>
      <c r="E33" s="42">
        <v>1000001</v>
      </c>
      <c r="F33" s="29" t="s">
        <v>416</v>
      </c>
    </row>
    <row r="34" spans="1:6" x14ac:dyDescent="0.2">
      <c r="A34" s="28" t="s">
        <v>563</v>
      </c>
      <c r="B34" s="42">
        <v>1</v>
      </c>
      <c r="C34" s="42">
        <v>100000000</v>
      </c>
      <c r="D34" s="42">
        <v>0</v>
      </c>
      <c r="E34" s="42">
        <v>100000001</v>
      </c>
      <c r="F34" s="29" t="s">
        <v>416</v>
      </c>
    </row>
    <row r="35" spans="1:6" x14ac:dyDescent="0.2">
      <c r="A35" s="28" t="s">
        <v>564</v>
      </c>
      <c r="B35" s="42">
        <v>0</v>
      </c>
      <c r="C35" s="42">
        <v>1000</v>
      </c>
      <c r="D35" s="31" t="s">
        <v>207</v>
      </c>
      <c r="E35" s="42">
        <v>1001</v>
      </c>
      <c r="F35" s="29" t="s">
        <v>565</v>
      </c>
    </row>
    <row r="36" spans="1:6" x14ac:dyDescent="0.2">
      <c r="A36" s="6" t="s">
        <v>566</v>
      </c>
    </row>
    <row r="38" spans="1:6" ht="15" x14ac:dyDescent="0.25">
      <c r="A38" s="33" t="s">
        <v>567</v>
      </c>
    </row>
    <row r="39" spans="1:6" x14ac:dyDescent="0.2">
      <c r="A39" s="8" t="s">
        <v>568</v>
      </c>
      <c r="B39" s="8" t="s">
        <v>569</v>
      </c>
      <c r="C39" s="8" t="s">
        <v>570</v>
      </c>
    </row>
    <row r="40" spans="1:6" x14ac:dyDescent="0.2">
      <c r="A40" s="29" t="s">
        <v>571</v>
      </c>
      <c r="B40" s="29" t="s">
        <v>571</v>
      </c>
      <c r="C40" s="28" t="s">
        <v>572</v>
      </c>
    </row>
  </sheetData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zoomScaleNormal="100" workbookViewId="0"/>
  </sheetViews>
  <sheetFormatPr defaultColWidth="7.21875" defaultRowHeight="14.25" x14ac:dyDescent="0.2"/>
  <cols>
    <col min="1" max="1" width="4.21875" customWidth="1"/>
    <col min="2" max="2" width="10" customWidth="1"/>
    <col min="3" max="3" width="41.77734375" customWidth="1"/>
    <col min="4" max="4" width="43.44140625" customWidth="1"/>
    <col min="5" max="5" width="15" customWidth="1"/>
    <col min="6" max="6" width="38.33203125" customWidth="1"/>
  </cols>
  <sheetData>
    <row r="1" spans="1:6" ht="18" x14ac:dyDescent="0.25">
      <c r="A1" s="19" t="s">
        <v>573</v>
      </c>
    </row>
    <row r="2" spans="1:6" x14ac:dyDescent="0.2">
      <c r="A2" s="6" t="s">
        <v>574</v>
      </c>
    </row>
    <row r="4" spans="1:6" x14ac:dyDescent="0.2">
      <c r="A4" s="7" t="s">
        <v>575</v>
      </c>
      <c r="B4" s="8" t="s">
        <v>517</v>
      </c>
      <c r="C4" s="8" t="s">
        <v>576</v>
      </c>
      <c r="D4" s="8" t="s">
        <v>577</v>
      </c>
      <c r="E4" s="8" t="s">
        <v>578</v>
      </c>
      <c r="F4" s="8" t="s">
        <v>579</v>
      </c>
    </row>
    <row r="5" spans="1:6" ht="38.25" x14ac:dyDescent="0.2">
      <c r="A5" s="11">
        <v>1</v>
      </c>
      <c r="B5" s="10" t="s">
        <v>580</v>
      </c>
      <c r="C5" s="10" t="s">
        <v>581</v>
      </c>
      <c r="D5" s="10" t="s">
        <v>582</v>
      </c>
      <c r="E5" s="12" t="s">
        <v>381</v>
      </c>
      <c r="F5" s="12" t="s">
        <v>583</v>
      </c>
    </row>
    <row r="6" spans="1:6" ht="25.5" x14ac:dyDescent="0.2">
      <c r="A6" s="11">
        <v>2</v>
      </c>
      <c r="B6" s="10" t="s">
        <v>580</v>
      </c>
      <c r="C6" s="10" t="s">
        <v>584</v>
      </c>
      <c r="D6" s="10" t="s">
        <v>585</v>
      </c>
      <c r="E6" s="12" t="s">
        <v>586</v>
      </c>
      <c r="F6" s="10" t="s">
        <v>587</v>
      </c>
    </row>
    <row r="7" spans="1:6" ht="25.5" x14ac:dyDescent="0.2">
      <c r="A7" s="11">
        <v>3</v>
      </c>
      <c r="B7" s="10" t="s">
        <v>588</v>
      </c>
      <c r="C7" s="12" t="s">
        <v>589</v>
      </c>
      <c r="D7" s="10" t="s">
        <v>590</v>
      </c>
      <c r="E7" s="12" t="s">
        <v>591</v>
      </c>
      <c r="F7" s="10" t="s">
        <v>592</v>
      </c>
    </row>
    <row r="8" spans="1:6" ht="25.5" x14ac:dyDescent="0.2">
      <c r="A8" s="11">
        <v>4</v>
      </c>
      <c r="B8" s="10" t="s">
        <v>593</v>
      </c>
      <c r="C8" s="10" t="s">
        <v>594</v>
      </c>
      <c r="D8" s="12" t="s">
        <v>595</v>
      </c>
      <c r="E8" s="12" t="s">
        <v>596</v>
      </c>
      <c r="F8" s="10" t="s">
        <v>597</v>
      </c>
    </row>
    <row r="9" spans="1:6" ht="38.25" x14ac:dyDescent="0.2">
      <c r="A9" s="11">
        <v>5</v>
      </c>
      <c r="B9" s="10" t="s">
        <v>598</v>
      </c>
      <c r="C9" s="10" t="s">
        <v>599</v>
      </c>
      <c r="D9" s="12" t="s">
        <v>600</v>
      </c>
      <c r="E9" s="12" t="s">
        <v>601</v>
      </c>
      <c r="F9" s="10" t="s">
        <v>602</v>
      </c>
    </row>
    <row r="10" spans="1:6" x14ac:dyDescent="0.2">
      <c r="A10" s="11">
        <v>6</v>
      </c>
      <c r="B10" s="10" t="s">
        <v>593</v>
      </c>
      <c r="C10" s="10" t="s">
        <v>603</v>
      </c>
      <c r="D10" s="12" t="s">
        <v>604</v>
      </c>
      <c r="E10" s="12" t="s">
        <v>605</v>
      </c>
      <c r="F10" s="12" t="s">
        <v>606</v>
      </c>
    </row>
    <row r="11" spans="1:6" ht="25.5" x14ac:dyDescent="0.2">
      <c r="A11" s="11">
        <v>7</v>
      </c>
      <c r="B11" s="10" t="s">
        <v>593</v>
      </c>
      <c r="C11" s="10" t="s">
        <v>607</v>
      </c>
      <c r="D11" s="10" t="s">
        <v>608</v>
      </c>
      <c r="E11" s="12" t="s">
        <v>609</v>
      </c>
      <c r="F11" s="12" t="s">
        <v>610</v>
      </c>
    </row>
    <row r="12" spans="1:6" ht="25.5" x14ac:dyDescent="0.2">
      <c r="A12" s="11">
        <v>8</v>
      </c>
      <c r="B12" s="10" t="s">
        <v>611</v>
      </c>
      <c r="C12" s="12" t="s">
        <v>612</v>
      </c>
      <c r="D12" s="10" t="s">
        <v>613</v>
      </c>
      <c r="E12" s="12" t="s">
        <v>180</v>
      </c>
      <c r="F12" s="10" t="s">
        <v>614</v>
      </c>
    </row>
    <row r="13" spans="1:6" x14ac:dyDescent="0.2">
      <c r="A13" s="11">
        <v>9</v>
      </c>
      <c r="B13" s="10" t="s">
        <v>593</v>
      </c>
      <c r="C13" s="10" t="s">
        <v>615</v>
      </c>
      <c r="D13" s="12" t="s">
        <v>616</v>
      </c>
      <c r="E13" s="12" t="s">
        <v>203</v>
      </c>
      <c r="F13" s="10" t="s">
        <v>617</v>
      </c>
    </row>
    <row r="14" spans="1:6" x14ac:dyDescent="0.2">
      <c r="A14" s="11">
        <v>10</v>
      </c>
      <c r="B14" s="10" t="s">
        <v>618</v>
      </c>
      <c r="C14" s="10" t="s">
        <v>619</v>
      </c>
      <c r="D14" s="12" t="s">
        <v>620</v>
      </c>
      <c r="E14" s="12" t="s">
        <v>207</v>
      </c>
      <c r="F14" s="10" t="s">
        <v>621</v>
      </c>
    </row>
    <row r="15" spans="1:6" ht="38.25" x14ac:dyDescent="0.2">
      <c r="A15" s="11">
        <v>11</v>
      </c>
      <c r="B15" s="10" t="s">
        <v>622</v>
      </c>
      <c r="C15" s="10" t="s">
        <v>623</v>
      </c>
      <c r="D15" s="10" t="s">
        <v>624</v>
      </c>
      <c r="E15" s="12" t="s">
        <v>455</v>
      </c>
      <c r="F15" s="10" t="s">
        <v>625</v>
      </c>
    </row>
    <row r="16" spans="1:6" ht="25.5" x14ac:dyDescent="0.2">
      <c r="A16" s="11">
        <v>12</v>
      </c>
      <c r="B16" s="10" t="s">
        <v>626</v>
      </c>
      <c r="C16" s="10" t="s">
        <v>627</v>
      </c>
      <c r="D16" s="10" t="s">
        <v>628</v>
      </c>
      <c r="E16" s="12" t="s">
        <v>169</v>
      </c>
      <c r="F16" s="10" t="s">
        <v>629</v>
      </c>
    </row>
    <row r="17" spans="1:6" ht="38.25" x14ac:dyDescent="0.2">
      <c r="A17" s="11">
        <v>13</v>
      </c>
      <c r="B17" s="10" t="s">
        <v>618</v>
      </c>
      <c r="C17" s="10" t="s">
        <v>630</v>
      </c>
      <c r="D17" s="10" t="s">
        <v>631</v>
      </c>
      <c r="E17" s="12" t="s">
        <v>207</v>
      </c>
      <c r="F17" s="10" t="s">
        <v>632</v>
      </c>
    </row>
  </sheetData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8"/>
  <sheetViews>
    <sheetView zoomScaleNormal="100" workbookViewId="0">
      <pane ySplit="4" topLeftCell="A5" activePane="bottomLeft" state="frozen"/>
      <selection pane="bottomLeft"/>
    </sheetView>
  </sheetViews>
  <sheetFormatPr defaultColWidth="7.21875" defaultRowHeight="14.25" x14ac:dyDescent="0.2"/>
  <cols>
    <col min="1" max="2" width="8.33203125" customWidth="1"/>
    <col min="3" max="3" width="33.33203125" customWidth="1"/>
    <col min="4" max="4" width="11.6640625" customWidth="1"/>
    <col min="5" max="5" width="25" customWidth="1"/>
    <col min="6" max="6" width="41.77734375" customWidth="1"/>
  </cols>
  <sheetData>
    <row r="1" spans="1:6" ht="18" x14ac:dyDescent="0.25">
      <c r="A1" s="19" t="s">
        <v>633</v>
      </c>
    </row>
    <row r="2" spans="1:6" x14ac:dyDescent="0.2">
      <c r="A2" s="6" t="s">
        <v>634</v>
      </c>
    </row>
    <row r="4" spans="1:6" x14ac:dyDescent="0.2">
      <c r="A4" s="8" t="s">
        <v>635</v>
      </c>
      <c r="B4" s="8" t="s">
        <v>636</v>
      </c>
      <c r="C4" s="8" t="s">
        <v>637</v>
      </c>
      <c r="D4" s="8" t="s">
        <v>638</v>
      </c>
      <c r="E4" s="8" t="s">
        <v>639</v>
      </c>
      <c r="F4" s="8" t="s">
        <v>570</v>
      </c>
    </row>
    <row r="5" spans="1:6" x14ac:dyDescent="0.2">
      <c r="A5" s="10" t="s">
        <v>640</v>
      </c>
      <c r="B5" s="12" t="s">
        <v>47</v>
      </c>
      <c r="C5" s="10" t="s">
        <v>641</v>
      </c>
      <c r="D5" s="10" t="s">
        <v>642</v>
      </c>
      <c r="E5" s="12" t="s">
        <v>60</v>
      </c>
      <c r="F5" s="10"/>
    </row>
    <row r="6" spans="1:6" x14ac:dyDescent="0.2">
      <c r="A6" s="10" t="s">
        <v>640</v>
      </c>
      <c r="B6" s="12" t="s">
        <v>60</v>
      </c>
      <c r="C6" s="10" t="s">
        <v>70</v>
      </c>
      <c r="D6" s="10" t="s">
        <v>642</v>
      </c>
      <c r="E6" s="12" t="s">
        <v>69</v>
      </c>
      <c r="F6" s="10"/>
    </row>
    <row r="7" spans="1:6" x14ac:dyDescent="0.2">
      <c r="A7" s="10" t="s">
        <v>640</v>
      </c>
      <c r="B7" s="12" t="s">
        <v>69</v>
      </c>
      <c r="C7" s="10" t="s">
        <v>643</v>
      </c>
      <c r="D7" s="10" t="s">
        <v>642</v>
      </c>
      <c r="E7" s="12" t="s">
        <v>47</v>
      </c>
      <c r="F7" s="10"/>
    </row>
    <row r="8" spans="1:6" x14ac:dyDescent="0.2">
      <c r="A8" s="10" t="s">
        <v>640</v>
      </c>
      <c r="B8" s="12" t="s">
        <v>74</v>
      </c>
      <c r="C8" s="10" t="s">
        <v>82</v>
      </c>
      <c r="D8" s="10" t="s">
        <v>642</v>
      </c>
      <c r="E8" s="12" t="s">
        <v>81</v>
      </c>
      <c r="F8" s="10" t="s">
        <v>644</v>
      </c>
    </row>
    <row r="9" spans="1:6" x14ac:dyDescent="0.2">
      <c r="A9" s="10" t="s">
        <v>640</v>
      </c>
      <c r="B9" s="12" t="s">
        <v>81</v>
      </c>
      <c r="C9" s="10" t="s">
        <v>645</v>
      </c>
      <c r="D9" s="10" t="s">
        <v>642</v>
      </c>
      <c r="E9" s="12" t="s">
        <v>74</v>
      </c>
      <c r="F9" s="10"/>
    </row>
    <row r="10" spans="1:6" x14ac:dyDescent="0.2">
      <c r="A10" s="10" t="s">
        <v>640</v>
      </c>
      <c r="B10" s="12" t="s">
        <v>86</v>
      </c>
      <c r="C10" s="10" t="s">
        <v>646</v>
      </c>
      <c r="D10" s="10" t="s">
        <v>642</v>
      </c>
      <c r="E10" s="12" t="s">
        <v>93</v>
      </c>
      <c r="F10" s="10" t="s">
        <v>647</v>
      </c>
    </row>
    <row r="11" spans="1:6" x14ac:dyDescent="0.2">
      <c r="A11" s="10" t="s">
        <v>640</v>
      </c>
      <c r="B11" s="12" t="s">
        <v>648</v>
      </c>
      <c r="C11" s="10" t="s">
        <v>649</v>
      </c>
      <c r="D11" s="10" t="s">
        <v>642</v>
      </c>
      <c r="E11" s="12" t="s">
        <v>110</v>
      </c>
      <c r="F11" s="10"/>
    </row>
    <row r="12" spans="1:6" x14ac:dyDescent="0.2">
      <c r="A12" s="10" t="s">
        <v>640</v>
      </c>
      <c r="B12" s="12" t="s">
        <v>650</v>
      </c>
      <c r="C12" s="10" t="s">
        <v>651</v>
      </c>
      <c r="D12" s="10" t="s">
        <v>642</v>
      </c>
      <c r="E12" s="12" t="s">
        <v>145</v>
      </c>
      <c r="F12" s="10" t="s">
        <v>652</v>
      </c>
    </row>
    <row r="13" spans="1:6" x14ac:dyDescent="0.2">
      <c r="A13" s="10" t="s">
        <v>640</v>
      </c>
      <c r="B13" s="12" t="s">
        <v>653</v>
      </c>
      <c r="C13" s="10" t="s">
        <v>654</v>
      </c>
      <c r="D13" s="10" t="s">
        <v>642</v>
      </c>
      <c r="E13" s="12" t="s">
        <v>156</v>
      </c>
      <c r="F13" s="10"/>
    </row>
    <row r="14" spans="1:6" x14ac:dyDescent="0.2">
      <c r="A14" s="10" t="s">
        <v>640</v>
      </c>
      <c r="B14" s="12" t="s">
        <v>655</v>
      </c>
      <c r="C14" s="10" t="s">
        <v>656</v>
      </c>
      <c r="D14" s="10" t="s">
        <v>642</v>
      </c>
      <c r="E14" s="12" t="s">
        <v>139</v>
      </c>
      <c r="F14" s="10" t="s">
        <v>644</v>
      </c>
    </row>
    <row r="15" spans="1:6" x14ac:dyDescent="0.2">
      <c r="A15" s="10" t="s">
        <v>640</v>
      </c>
      <c r="B15" s="12" t="s">
        <v>657</v>
      </c>
      <c r="C15" s="10" t="s">
        <v>658</v>
      </c>
      <c r="D15" s="10" t="s">
        <v>642</v>
      </c>
      <c r="E15" s="12" t="s">
        <v>169</v>
      </c>
      <c r="F15" s="10"/>
    </row>
    <row r="16" spans="1:6" x14ac:dyDescent="0.2">
      <c r="A16" s="10" t="s">
        <v>640</v>
      </c>
      <c r="B16" s="12" t="s">
        <v>659</v>
      </c>
      <c r="C16" s="10" t="s">
        <v>660</v>
      </c>
      <c r="D16" s="10" t="s">
        <v>642</v>
      </c>
      <c r="E16" s="12" t="s">
        <v>163</v>
      </c>
      <c r="F16" s="10"/>
    </row>
    <row r="17" spans="1:6" x14ac:dyDescent="0.2">
      <c r="A17" s="10" t="s">
        <v>640</v>
      </c>
      <c r="B17" s="12" t="s">
        <v>110</v>
      </c>
      <c r="C17" s="10" t="s">
        <v>661</v>
      </c>
      <c r="D17" s="10" t="s">
        <v>642</v>
      </c>
      <c r="E17" s="12" t="s">
        <v>118</v>
      </c>
      <c r="F17" s="10"/>
    </row>
    <row r="18" spans="1:6" x14ac:dyDescent="0.2">
      <c r="A18" s="10" t="s">
        <v>640</v>
      </c>
      <c r="B18" s="12" t="s">
        <v>118</v>
      </c>
      <c r="C18" s="10" t="s">
        <v>662</v>
      </c>
      <c r="D18" s="10" t="s">
        <v>642</v>
      </c>
      <c r="E18" s="12" t="s">
        <v>125</v>
      </c>
      <c r="F18" s="10"/>
    </row>
    <row r="19" spans="1:6" x14ac:dyDescent="0.2">
      <c r="A19" s="10" t="s">
        <v>640</v>
      </c>
      <c r="B19" s="12" t="s">
        <v>125</v>
      </c>
      <c r="C19" s="10" t="s">
        <v>663</v>
      </c>
      <c r="D19" s="10" t="s">
        <v>642</v>
      </c>
      <c r="E19" s="12" t="s">
        <v>186</v>
      </c>
      <c r="F19" s="10" t="s">
        <v>644</v>
      </c>
    </row>
    <row r="20" spans="1:6" x14ac:dyDescent="0.2">
      <c r="A20" s="10" t="s">
        <v>640</v>
      </c>
      <c r="B20" s="12" t="s">
        <v>132</v>
      </c>
      <c r="C20" s="10" t="s">
        <v>664</v>
      </c>
      <c r="D20" s="10" t="s">
        <v>642</v>
      </c>
      <c r="E20" s="12" t="s">
        <v>203</v>
      </c>
      <c r="F20" s="10"/>
    </row>
    <row r="21" spans="1:6" x14ac:dyDescent="0.2">
      <c r="A21" s="10" t="s">
        <v>640</v>
      </c>
      <c r="B21" s="12" t="s">
        <v>665</v>
      </c>
      <c r="C21" s="10" t="s">
        <v>666</v>
      </c>
      <c r="D21" s="10" t="s">
        <v>642</v>
      </c>
      <c r="E21" s="12" t="s">
        <v>248</v>
      </c>
      <c r="F21" s="10"/>
    </row>
    <row r="22" spans="1:6" x14ac:dyDescent="0.2">
      <c r="A22" s="10" t="s">
        <v>640</v>
      </c>
      <c r="B22" s="12" t="s">
        <v>667</v>
      </c>
      <c r="C22" s="10" t="s">
        <v>668</v>
      </c>
      <c r="D22" s="10" t="s">
        <v>642</v>
      </c>
      <c r="E22" s="12" t="s">
        <v>257</v>
      </c>
      <c r="F22" s="10"/>
    </row>
    <row r="23" spans="1:6" x14ac:dyDescent="0.2">
      <c r="A23" s="10" t="s">
        <v>640</v>
      </c>
      <c r="B23" s="12" t="s">
        <v>669</v>
      </c>
      <c r="C23" s="10" t="s">
        <v>670</v>
      </c>
      <c r="D23" s="10" t="s">
        <v>642</v>
      </c>
      <c r="E23" s="12" t="s">
        <v>278</v>
      </c>
      <c r="F23" s="10"/>
    </row>
    <row r="24" spans="1:6" x14ac:dyDescent="0.2">
      <c r="A24" s="10" t="s">
        <v>640</v>
      </c>
      <c r="B24" s="12" t="s">
        <v>671</v>
      </c>
      <c r="C24" s="10" t="s">
        <v>672</v>
      </c>
      <c r="D24" s="10" t="s">
        <v>642</v>
      </c>
      <c r="E24" s="12" t="s">
        <v>299</v>
      </c>
      <c r="F24" s="10"/>
    </row>
    <row r="25" spans="1:6" x14ac:dyDescent="0.2">
      <c r="A25" s="10" t="s">
        <v>640</v>
      </c>
      <c r="B25" s="12" t="s">
        <v>673</v>
      </c>
      <c r="C25" s="10" t="s">
        <v>674</v>
      </c>
      <c r="D25" s="10" t="s">
        <v>642</v>
      </c>
      <c r="E25" s="12" t="s">
        <v>305</v>
      </c>
      <c r="F25" s="10" t="s">
        <v>644</v>
      </c>
    </row>
    <row r="26" spans="1:6" x14ac:dyDescent="0.2">
      <c r="A26" s="10" t="s">
        <v>640</v>
      </c>
      <c r="B26" s="12" t="s">
        <v>675</v>
      </c>
      <c r="C26" s="10" t="s">
        <v>318</v>
      </c>
      <c r="D26" s="10" t="s">
        <v>642</v>
      </c>
      <c r="E26" s="12" t="s">
        <v>317</v>
      </c>
      <c r="F26" s="10"/>
    </row>
    <row r="27" spans="1:6" x14ac:dyDescent="0.2">
      <c r="A27" s="10" t="s">
        <v>640</v>
      </c>
      <c r="B27" s="12" t="s">
        <v>676</v>
      </c>
      <c r="C27" s="10" t="s">
        <v>677</v>
      </c>
      <c r="D27" s="10" t="s">
        <v>642</v>
      </c>
      <c r="E27" s="12" t="s">
        <v>311</v>
      </c>
      <c r="F27" s="10"/>
    </row>
    <row r="28" spans="1:6" x14ac:dyDescent="0.2">
      <c r="A28" s="10" t="s">
        <v>640</v>
      </c>
      <c r="B28" s="12" t="s">
        <v>678</v>
      </c>
      <c r="C28" s="10" t="s">
        <v>679</v>
      </c>
      <c r="D28" s="10" t="s">
        <v>642</v>
      </c>
      <c r="E28" s="12" t="s">
        <v>342</v>
      </c>
      <c r="F28" s="10"/>
    </row>
    <row r="29" spans="1:6" x14ac:dyDescent="0.2">
      <c r="A29" s="10" t="s">
        <v>640</v>
      </c>
      <c r="B29" s="12" t="s">
        <v>680</v>
      </c>
      <c r="C29" s="10" t="s">
        <v>350</v>
      </c>
      <c r="D29" s="10" t="s">
        <v>642</v>
      </c>
      <c r="E29" s="12" t="s">
        <v>349</v>
      </c>
      <c r="F29" s="10"/>
    </row>
    <row r="30" spans="1:6" x14ac:dyDescent="0.2">
      <c r="A30" s="10" t="s">
        <v>640</v>
      </c>
      <c r="B30" s="12" t="s">
        <v>681</v>
      </c>
      <c r="C30" s="10" t="s">
        <v>682</v>
      </c>
      <c r="D30" s="10" t="s">
        <v>642</v>
      </c>
      <c r="E30" s="12" t="s">
        <v>356</v>
      </c>
      <c r="F30" s="10"/>
    </row>
    <row r="31" spans="1:6" x14ac:dyDescent="0.2">
      <c r="A31" s="10" t="s">
        <v>640</v>
      </c>
      <c r="B31" s="12" t="s">
        <v>683</v>
      </c>
      <c r="C31" s="10" t="s">
        <v>684</v>
      </c>
      <c r="D31" s="10" t="s">
        <v>685</v>
      </c>
      <c r="E31" s="12" t="s">
        <v>395</v>
      </c>
      <c r="F31" s="10"/>
    </row>
    <row r="32" spans="1:6" x14ac:dyDescent="0.2">
      <c r="A32" s="10" t="s">
        <v>640</v>
      </c>
      <c r="B32" s="12" t="s">
        <v>686</v>
      </c>
      <c r="C32" s="10" t="s">
        <v>687</v>
      </c>
      <c r="D32" s="10" t="s">
        <v>642</v>
      </c>
      <c r="E32" s="12" t="s">
        <v>375</v>
      </c>
      <c r="F32" s="10"/>
    </row>
    <row r="33" spans="1:6" x14ac:dyDescent="0.2">
      <c r="A33" s="10" t="s">
        <v>640</v>
      </c>
      <c r="B33" s="12" t="s">
        <v>688</v>
      </c>
      <c r="C33" s="12" t="s">
        <v>689</v>
      </c>
      <c r="D33" s="10" t="s">
        <v>642</v>
      </c>
      <c r="E33" s="12" t="s">
        <v>361</v>
      </c>
      <c r="F33" s="10"/>
    </row>
    <row r="34" spans="1:6" x14ac:dyDescent="0.2">
      <c r="A34" s="10" t="s">
        <v>640</v>
      </c>
      <c r="B34" s="12" t="s">
        <v>690</v>
      </c>
      <c r="C34" s="10" t="s">
        <v>691</v>
      </c>
      <c r="D34" s="10" t="s">
        <v>642</v>
      </c>
      <c r="E34" s="12" t="s">
        <v>400</v>
      </c>
      <c r="F34" s="10" t="s">
        <v>644</v>
      </c>
    </row>
    <row r="35" spans="1:6" x14ac:dyDescent="0.2">
      <c r="A35" s="10" t="s">
        <v>640</v>
      </c>
      <c r="B35" s="12" t="s">
        <v>692</v>
      </c>
      <c r="C35" s="10" t="s">
        <v>693</v>
      </c>
      <c r="D35" s="10" t="s">
        <v>642</v>
      </c>
      <c r="E35" s="12" t="s">
        <v>409</v>
      </c>
      <c r="F35" s="10"/>
    </row>
    <row r="36" spans="1:6" x14ac:dyDescent="0.2">
      <c r="A36" s="10" t="s">
        <v>640</v>
      </c>
      <c r="B36" s="12" t="s">
        <v>694</v>
      </c>
      <c r="C36" s="10" t="s">
        <v>695</v>
      </c>
      <c r="D36" s="10" t="s">
        <v>642</v>
      </c>
      <c r="E36" s="12" t="s">
        <v>416</v>
      </c>
      <c r="F36" s="10"/>
    </row>
    <row r="37" spans="1:6" x14ac:dyDescent="0.2">
      <c r="A37" s="10" t="s">
        <v>640</v>
      </c>
      <c r="B37" s="12" t="s">
        <v>696</v>
      </c>
      <c r="C37" s="10" t="s">
        <v>697</v>
      </c>
      <c r="D37" s="10" t="s">
        <v>642</v>
      </c>
      <c r="E37" s="12" t="s">
        <v>448</v>
      </c>
      <c r="F37" s="10"/>
    </row>
    <row r="38" spans="1:6" x14ac:dyDescent="0.2">
      <c r="A38" s="10" t="s">
        <v>640</v>
      </c>
      <c r="B38" s="12" t="s">
        <v>698</v>
      </c>
      <c r="C38" s="10" t="s">
        <v>699</v>
      </c>
      <c r="D38" s="10" t="s">
        <v>642</v>
      </c>
      <c r="E38" s="12" t="s">
        <v>323</v>
      </c>
      <c r="F38" s="10"/>
    </row>
    <row r="39" spans="1:6" ht="25.5" x14ac:dyDescent="0.2">
      <c r="A39" s="10" t="s">
        <v>700</v>
      </c>
      <c r="B39" s="12" t="s">
        <v>701</v>
      </c>
      <c r="C39" s="10" t="s">
        <v>702</v>
      </c>
      <c r="D39" s="10" t="s">
        <v>642</v>
      </c>
      <c r="E39" s="12" t="s">
        <v>703</v>
      </c>
      <c r="F39" s="10" t="s">
        <v>704</v>
      </c>
    </row>
    <row r="40" spans="1:6" ht="25.5" x14ac:dyDescent="0.2">
      <c r="A40" s="10" t="s">
        <v>700</v>
      </c>
      <c r="B40" s="12" t="s">
        <v>705</v>
      </c>
      <c r="C40" s="10" t="s">
        <v>706</v>
      </c>
      <c r="D40" s="10" t="s">
        <v>642</v>
      </c>
      <c r="E40" s="12" t="s">
        <v>707</v>
      </c>
      <c r="F40" s="10" t="s">
        <v>704</v>
      </c>
    </row>
    <row r="41" spans="1:6" x14ac:dyDescent="0.2">
      <c r="A41" s="10" t="s">
        <v>700</v>
      </c>
      <c r="B41" s="12" t="s">
        <v>708</v>
      </c>
      <c r="C41" s="10" t="s">
        <v>709</v>
      </c>
      <c r="D41" s="10" t="s">
        <v>642</v>
      </c>
      <c r="E41" s="12" t="s">
        <v>710</v>
      </c>
      <c r="F41" s="10" t="s">
        <v>704</v>
      </c>
    </row>
    <row r="42" spans="1:6" ht="25.5" x14ac:dyDescent="0.2">
      <c r="A42" s="10" t="s">
        <v>700</v>
      </c>
      <c r="B42" s="12" t="s">
        <v>711</v>
      </c>
      <c r="C42" s="10" t="s">
        <v>712</v>
      </c>
      <c r="D42" s="10" t="s">
        <v>713</v>
      </c>
      <c r="E42" s="12" t="s">
        <v>215</v>
      </c>
      <c r="F42" s="10" t="s">
        <v>714</v>
      </c>
    </row>
    <row r="43" spans="1:6" x14ac:dyDescent="0.2">
      <c r="A43" s="10" t="s">
        <v>700</v>
      </c>
      <c r="B43" s="12" t="s">
        <v>715</v>
      </c>
      <c r="C43" s="10" t="s">
        <v>716</v>
      </c>
      <c r="D43" s="10" t="s">
        <v>642</v>
      </c>
      <c r="E43" s="12" t="s">
        <v>717</v>
      </c>
      <c r="F43" s="10" t="s">
        <v>704</v>
      </c>
    </row>
    <row r="44" spans="1:6" x14ac:dyDescent="0.2">
      <c r="A44" s="10" t="s">
        <v>700</v>
      </c>
      <c r="B44" s="12" t="s">
        <v>718</v>
      </c>
      <c r="C44" s="10" t="s">
        <v>719</v>
      </c>
      <c r="D44" s="10" t="s">
        <v>642</v>
      </c>
      <c r="E44" s="12" t="s">
        <v>720</v>
      </c>
      <c r="F44" s="10" t="s">
        <v>704</v>
      </c>
    </row>
    <row r="45" spans="1:6" x14ac:dyDescent="0.2">
      <c r="A45" s="10" t="s">
        <v>700</v>
      </c>
      <c r="B45" s="12" t="s">
        <v>721</v>
      </c>
      <c r="C45" s="10" t="s">
        <v>722</v>
      </c>
      <c r="D45" s="10" t="s">
        <v>642</v>
      </c>
      <c r="E45" s="12" t="s">
        <v>375</v>
      </c>
      <c r="F45" s="10" t="s">
        <v>704</v>
      </c>
    </row>
    <row r="46" spans="1:6" x14ac:dyDescent="0.2">
      <c r="A46" s="10" t="s">
        <v>700</v>
      </c>
      <c r="B46" s="12" t="s">
        <v>723</v>
      </c>
      <c r="C46" s="10" t="s">
        <v>724</v>
      </c>
      <c r="D46" s="10" t="s">
        <v>642</v>
      </c>
      <c r="E46" s="12" t="s">
        <v>586</v>
      </c>
      <c r="F46" s="10" t="s">
        <v>704</v>
      </c>
    </row>
    <row r="47" spans="1:6" x14ac:dyDescent="0.2">
      <c r="A47" s="10" t="s">
        <v>700</v>
      </c>
      <c r="B47" s="12" t="s">
        <v>725</v>
      </c>
      <c r="C47" s="10" t="s">
        <v>726</v>
      </c>
      <c r="D47" s="10" t="s">
        <v>642</v>
      </c>
      <c r="E47" s="12" t="s">
        <v>727</v>
      </c>
      <c r="F47" s="10" t="s">
        <v>704</v>
      </c>
    </row>
    <row r="48" spans="1:6" x14ac:dyDescent="0.2">
      <c r="A48" s="10" t="s">
        <v>700</v>
      </c>
      <c r="B48" s="12" t="s">
        <v>728</v>
      </c>
      <c r="C48" s="10" t="s">
        <v>729</v>
      </c>
      <c r="D48" s="10" t="s">
        <v>642</v>
      </c>
      <c r="E48" s="12" t="s">
        <v>730</v>
      </c>
      <c r="F48" s="10" t="s">
        <v>704</v>
      </c>
    </row>
  </sheetData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안내</vt:lpstr>
      <vt:lpstr>시나리오</vt:lpstr>
      <vt:lpstr>요약</vt:lpstr>
      <vt:lpstr>테스트 데이터</vt:lpstr>
      <vt:lpstr>확인 필요 사항</vt:lpstr>
      <vt:lpstr>출처 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우주상/SCP Platform그룹(SCP개발)</cp:lastModifiedBy>
  <cp:revision>0</cp:revision>
  <dcterms:created xsi:type="dcterms:W3CDTF">2026-10-21T05:06:07Z</dcterms:created>
  <dcterms:modified xsi:type="dcterms:W3CDTF">2026-10-21T05:07:25Z</dcterms:modified>
  <dc:language>ko-KR</dc:language>
</cp:coreProperties>
</file>